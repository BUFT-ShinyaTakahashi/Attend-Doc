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attend\Attend-Doc\wk\DB設計\001_テーブル定義\"/>
    </mc:Choice>
  </mc:AlternateContent>
  <bookViews>
    <workbookView xWindow="0" yWindow="0" windowWidth="22260" windowHeight="12645"/>
  </bookViews>
  <sheets>
    <sheet name="Sheet1" sheetId="1" r:id="rId1"/>
    <sheet name="組織マスタのイメージ" sheetId="3" r:id="rId2"/>
    <sheet name="申請系テーブルのイメージ" sheetId="2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0" i="1" l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 l="1"/>
  <c r="H18" i="1"/>
  <c r="H17" i="1"/>
  <c r="H16" i="1"/>
  <c r="H15" i="1"/>
  <c r="H14" i="1"/>
  <c r="J1" i="1" l="1"/>
  <c r="H13" i="1"/>
  <c r="H12" i="1"/>
  <c r="H11" i="1"/>
  <c r="H10" i="1"/>
  <c r="H9" i="1"/>
  <c r="H8" i="1"/>
  <c r="H7" i="1"/>
  <c r="H6" i="1"/>
</calcChain>
</file>

<file path=xl/sharedStrings.xml><?xml version="1.0" encoding="utf-8"?>
<sst xmlns="http://schemas.openxmlformats.org/spreadsheetml/2006/main" count="205" uniqueCount="141">
  <si>
    <t>システムID</t>
    <phoneticPr fontId="2"/>
  </si>
  <si>
    <t>No.</t>
    <phoneticPr fontId="2"/>
  </si>
  <si>
    <t>テーブル名</t>
    <rPh sb="4" eb="5">
      <t>メイ</t>
    </rPh>
    <phoneticPr fontId="2"/>
  </si>
  <si>
    <t>論理名</t>
    <rPh sb="0" eb="2">
      <t>ロンリ</t>
    </rPh>
    <rPh sb="2" eb="3">
      <t>メイ</t>
    </rPh>
    <phoneticPr fontId="2"/>
  </si>
  <si>
    <t>物理名</t>
    <rPh sb="0" eb="2">
      <t>ブツリ</t>
    </rPh>
    <rPh sb="2" eb="3">
      <t>メイ</t>
    </rPh>
    <phoneticPr fontId="2"/>
  </si>
  <si>
    <t>作成日</t>
    <rPh sb="0" eb="2">
      <t>サクセイ</t>
    </rPh>
    <rPh sb="2" eb="3">
      <t>ビ</t>
    </rPh>
    <phoneticPr fontId="2"/>
  </si>
  <si>
    <t>作成者</t>
    <rPh sb="0" eb="3">
      <t>サクセイシャ</t>
    </rPh>
    <phoneticPr fontId="2"/>
  </si>
  <si>
    <t>ファイル名</t>
    <rPh sb="4" eb="5">
      <t>メイ</t>
    </rPh>
    <phoneticPr fontId="2"/>
  </si>
  <si>
    <t>備考</t>
    <rPh sb="0" eb="2">
      <t>ビコウ</t>
    </rPh>
    <phoneticPr fontId="2"/>
  </si>
  <si>
    <t>説明</t>
    <rPh sb="0" eb="2">
      <t>セツメイ</t>
    </rPh>
    <phoneticPr fontId="2"/>
  </si>
  <si>
    <t>システム名</t>
    <rPh sb="4" eb="5">
      <t>メイ</t>
    </rPh>
    <phoneticPr fontId="2"/>
  </si>
  <si>
    <t>サブシステムID</t>
    <phoneticPr fontId="2"/>
  </si>
  <si>
    <t>サブシステム名</t>
    <rPh sb="6" eb="7">
      <t>メイ</t>
    </rPh>
    <phoneticPr fontId="2"/>
  </si>
  <si>
    <t>テーブル数</t>
    <rPh sb="4" eb="5">
      <t>スウ</t>
    </rPh>
    <phoneticPr fontId="2"/>
  </si>
  <si>
    <t>社員マスタ</t>
    <rPh sb="0" eb="2">
      <t>シャイン</t>
    </rPh>
    <phoneticPr fontId="2"/>
  </si>
  <si>
    <t>作成
対象</t>
    <rPh sb="0" eb="2">
      <t>サクセイ</t>
    </rPh>
    <rPh sb="3" eb="5">
      <t>タイショウ</t>
    </rPh>
    <phoneticPr fontId="2"/>
  </si>
  <si>
    <t>勤務時間</t>
    <rPh sb="0" eb="2">
      <t>キンム</t>
    </rPh>
    <rPh sb="2" eb="4">
      <t>ジカン</t>
    </rPh>
    <phoneticPr fontId="2"/>
  </si>
  <si>
    <t>勤務時間設定</t>
    <rPh sb="0" eb="2">
      <t>キンム</t>
    </rPh>
    <rPh sb="2" eb="4">
      <t>ジカン</t>
    </rPh>
    <rPh sb="4" eb="6">
      <t>セッテイ</t>
    </rPh>
    <phoneticPr fontId="2"/>
  </si>
  <si>
    <t>祝日管理</t>
    <rPh sb="0" eb="2">
      <t>シュクジツ</t>
    </rPh>
    <rPh sb="2" eb="4">
      <t>カンリ</t>
    </rPh>
    <phoneticPr fontId="2"/>
  </si>
  <si>
    <t>申請</t>
    <rPh sb="0" eb="2">
      <t>シンセイ</t>
    </rPh>
    <phoneticPr fontId="2"/>
  </si>
  <si>
    <t>申請マスタ</t>
    <rPh sb="0" eb="2">
      <t>シンセイ</t>
    </rPh>
    <phoneticPr fontId="2"/>
  </si>
  <si>
    <t>締め管理</t>
    <rPh sb="0" eb="1">
      <t>シ</t>
    </rPh>
    <rPh sb="2" eb="4">
      <t>カンリ</t>
    </rPh>
    <phoneticPr fontId="2"/>
  </si>
  <si>
    <t>有給管理</t>
    <rPh sb="0" eb="2">
      <t>ユウキュウ</t>
    </rPh>
    <rPh sb="2" eb="4">
      <t>カンリ</t>
    </rPh>
    <phoneticPr fontId="2"/>
  </si>
  <si>
    <t>高橋</t>
    <rPh sb="0" eb="2">
      <t>タカハシ</t>
    </rPh>
    <phoneticPr fontId="2"/>
  </si>
  <si>
    <t>「新規申請」画面の一覧に表示</t>
    <rPh sb="1" eb="3">
      <t>シンキ</t>
    </rPh>
    <rPh sb="3" eb="5">
      <t>シンセイ</t>
    </rPh>
    <rPh sb="6" eb="8">
      <t>ガメン</t>
    </rPh>
    <rPh sb="9" eb="11">
      <t>イチラン</t>
    </rPh>
    <rPh sb="12" eb="14">
      <t>ヒョウジ</t>
    </rPh>
    <phoneticPr fontId="2"/>
  </si>
  <si>
    <t>各種申請の種類を定義する</t>
    <rPh sb="0" eb="2">
      <t>カクシュ</t>
    </rPh>
    <rPh sb="2" eb="4">
      <t>シンセイ</t>
    </rPh>
    <rPh sb="5" eb="7">
      <t>シュルイ</t>
    </rPh>
    <rPh sb="8" eb="10">
      <t>テイギ</t>
    </rPh>
    <phoneticPr fontId="2"/>
  </si>
  <si>
    <t>申請詳細</t>
    <rPh sb="0" eb="2">
      <t>シンセイ</t>
    </rPh>
    <rPh sb="2" eb="4">
      <t>ショウサイ</t>
    </rPh>
    <phoneticPr fontId="2"/>
  </si>
  <si>
    <t>秋元</t>
    <rPh sb="0" eb="2">
      <t>アキモト</t>
    </rPh>
    <phoneticPr fontId="2"/>
  </si>
  <si>
    <t>経費申請</t>
    <rPh sb="0" eb="2">
      <t>ケイヒ</t>
    </rPh>
    <rPh sb="2" eb="4">
      <t>シンセイ</t>
    </rPh>
    <phoneticPr fontId="2"/>
  </si>
  <si>
    <t>通勤手当申請</t>
    <rPh sb="0" eb="2">
      <t>ツウキン</t>
    </rPh>
    <rPh sb="2" eb="4">
      <t>テアテ</t>
    </rPh>
    <rPh sb="4" eb="6">
      <t>シンセイ</t>
    </rPh>
    <phoneticPr fontId="2"/>
  </si>
  <si>
    <t>休日出勤申請</t>
    <rPh sb="0" eb="2">
      <t>キュウジツ</t>
    </rPh>
    <rPh sb="2" eb="4">
      <t>シュッキン</t>
    </rPh>
    <rPh sb="4" eb="6">
      <t>シンセイ</t>
    </rPh>
    <phoneticPr fontId="2"/>
  </si>
  <si>
    <t>休暇取得申請</t>
    <rPh sb="0" eb="2">
      <t>キュウカ</t>
    </rPh>
    <rPh sb="2" eb="4">
      <t>シュトク</t>
    </rPh>
    <rPh sb="4" eb="6">
      <t>シンセイ</t>
    </rPh>
    <phoneticPr fontId="2"/>
  </si>
  <si>
    <t>書籍購入支援申請</t>
    <rPh sb="0" eb="2">
      <t>ショセキ</t>
    </rPh>
    <rPh sb="2" eb="4">
      <t>コウニュウ</t>
    </rPh>
    <rPh sb="4" eb="6">
      <t>シエン</t>
    </rPh>
    <rPh sb="6" eb="8">
      <t>シンセイ</t>
    </rPh>
    <phoneticPr fontId="2"/>
  </si>
  <si>
    <t>各種申請の状況を管理する</t>
    <rPh sb="0" eb="2">
      <t>カクシュ</t>
    </rPh>
    <rPh sb="2" eb="4">
      <t>シンセイ</t>
    </rPh>
    <rPh sb="5" eb="7">
      <t>ジョウキョウ</t>
    </rPh>
    <rPh sb="8" eb="10">
      <t>カンリ</t>
    </rPh>
    <phoneticPr fontId="2"/>
  </si>
  <si>
    <t>各種申請の承認状況の詳細を管理する</t>
    <rPh sb="0" eb="2">
      <t>カクシュ</t>
    </rPh>
    <rPh sb="2" eb="4">
      <t>シンセイ</t>
    </rPh>
    <rPh sb="5" eb="7">
      <t>ショウニン</t>
    </rPh>
    <rPh sb="7" eb="9">
      <t>ジョウキョウ</t>
    </rPh>
    <rPh sb="10" eb="12">
      <t>ショウサイ</t>
    </rPh>
    <rPh sb="13" eb="15">
      <t>カンリ</t>
    </rPh>
    <phoneticPr fontId="2"/>
  </si>
  <si>
    <t>休暇取得申請の申請内容を管理する</t>
    <rPh sb="0" eb="2">
      <t>キュウカ</t>
    </rPh>
    <rPh sb="2" eb="4">
      <t>シュトク</t>
    </rPh>
    <rPh sb="4" eb="6">
      <t>シンセイ</t>
    </rPh>
    <rPh sb="7" eb="9">
      <t>シンセイ</t>
    </rPh>
    <rPh sb="9" eb="11">
      <t>ナイヨウ</t>
    </rPh>
    <rPh sb="12" eb="14">
      <t>カンリ</t>
    </rPh>
    <phoneticPr fontId="2"/>
  </si>
  <si>
    <t>通勤手当申請の申請内容を管理する</t>
    <rPh sb="0" eb="2">
      <t>ツウキン</t>
    </rPh>
    <rPh sb="2" eb="4">
      <t>テアテ</t>
    </rPh>
    <rPh sb="4" eb="6">
      <t>シンセイ</t>
    </rPh>
    <rPh sb="7" eb="9">
      <t>シンセイ</t>
    </rPh>
    <rPh sb="9" eb="11">
      <t>ナイヨウ</t>
    </rPh>
    <rPh sb="12" eb="14">
      <t>カンリ</t>
    </rPh>
    <phoneticPr fontId="2"/>
  </si>
  <si>
    <t>経費申請の申請内容を管理する</t>
    <rPh sb="0" eb="2">
      <t>ケイヒ</t>
    </rPh>
    <rPh sb="2" eb="4">
      <t>シンセイ</t>
    </rPh>
    <rPh sb="5" eb="7">
      <t>シンセイ</t>
    </rPh>
    <rPh sb="7" eb="9">
      <t>ナイヨウ</t>
    </rPh>
    <rPh sb="10" eb="12">
      <t>カンリ</t>
    </rPh>
    <phoneticPr fontId="2"/>
  </si>
  <si>
    <t>書籍購入支援申請の申請内容を管理する</t>
    <rPh sb="0" eb="2">
      <t>ショセキ</t>
    </rPh>
    <rPh sb="2" eb="4">
      <t>コウニュウ</t>
    </rPh>
    <rPh sb="4" eb="6">
      <t>シエン</t>
    </rPh>
    <rPh sb="6" eb="8">
      <t>シンセイ</t>
    </rPh>
    <rPh sb="9" eb="11">
      <t>シンセイ</t>
    </rPh>
    <rPh sb="11" eb="13">
      <t>ナイヨウ</t>
    </rPh>
    <rPh sb="14" eb="16">
      <t>カンリ</t>
    </rPh>
    <phoneticPr fontId="2"/>
  </si>
  <si>
    <t>休日出勤申請の申請内容を管理する</t>
    <rPh sb="0" eb="2">
      <t>キュウジツ</t>
    </rPh>
    <rPh sb="2" eb="4">
      <t>シュッキン</t>
    </rPh>
    <rPh sb="4" eb="6">
      <t>シンセイ</t>
    </rPh>
    <rPh sb="7" eb="9">
      <t>シンセイ</t>
    </rPh>
    <rPh sb="9" eb="11">
      <t>ナイヨウ</t>
    </rPh>
    <rPh sb="12" eb="14">
      <t>カンリ</t>
    </rPh>
    <phoneticPr fontId="2"/>
  </si>
  <si>
    <t>○</t>
    <phoneticPr fontId="2"/>
  </si>
  <si>
    <t>スキーマ名</t>
    <rPh sb="4" eb="5">
      <t>メイ</t>
    </rPh>
    <phoneticPr fontId="2"/>
  </si>
  <si>
    <t>申請番号</t>
    <rPh sb="0" eb="2">
      <t>シンセイ</t>
    </rPh>
    <rPh sb="2" eb="4">
      <t>バンゴウ</t>
    </rPh>
    <phoneticPr fontId="2"/>
  </si>
  <si>
    <t>社員番号</t>
    <rPh sb="0" eb="2">
      <t>シャイン</t>
    </rPh>
    <rPh sb="2" eb="4">
      <t>バンゴウ</t>
    </rPh>
    <phoneticPr fontId="2"/>
  </si>
  <si>
    <t>申請日</t>
    <rPh sb="0" eb="2">
      <t>シンセイ</t>
    </rPh>
    <rPh sb="2" eb="3">
      <t>ビ</t>
    </rPh>
    <phoneticPr fontId="2"/>
  </si>
  <si>
    <t>申請番号(PK)</t>
    <rPh sb="0" eb="2">
      <t>シンセイ</t>
    </rPh>
    <rPh sb="2" eb="4">
      <t>バンゴウ</t>
    </rPh>
    <phoneticPr fontId="2"/>
  </si>
  <si>
    <t>社員番号(PK)</t>
    <rPh sb="0" eb="2">
      <t>シャイン</t>
    </rPh>
    <rPh sb="2" eb="4">
      <t>バンゴウ</t>
    </rPh>
    <phoneticPr fontId="2"/>
  </si>
  <si>
    <t>承認順位(PK)</t>
    <rPh sb="0" eb="2">
      <t>ショウニン</t>
    </rPh>
    <rPh sb="2" eb="4">
      <t>ジュンイ</t>
    </rPh>
    <phoneticPr fontId="2"/>
  </si>
  <si>
    <t>年月(PK)</t>
    <rPh sb="0" eb="2">
      <t>ネンゲツ</t>
    </rPh>
    <phoneticPr fontId="2"/>
  </si>
  <si>
    <t>日(PK)</t>
    <rPh sb="0" eb="1">
      <t>ヒ</t>
    </rPh>
    <phoneticPr fontId="2"/>
  </si>
  <si>
    <t>承認ステータス</t>
    <rPh sb="0" eb="2">
      <t>ショウニン</t>
    </rPh>
    <phoneticPr fontId="2"/>
  </si>
  <si>
    <t>対象年月</t>
    <rPh sb="0" eb="2">
      <t>タイショウ</t>
    </rPh>
    <rPh sb="2" eb="4">
      <t>ネンゲツ</t>
    </rPh>
    <phoneticPr fontId="2"/>
  </si>
  <si>
    <t>201705</t>
    <phoneticPr fontId="2"/>
  </si>
  <si>
    <t>交通機関</t>
    <rPh sb="0" eb="2">
      <t>コウツウ</t>
    </rPh>
    <rPh sb="2" eb="4">
      <t>キカン</t>
    </rPh>
    <phoneticPr fontId="2"/>
  </si>
  <si>
    <t>JR</t>
    <phoneticPr fontId="2"/>
  </si>
  <si>
    <t>地下鉄</t>
    <rPh sb="0" eb="3">
      <t>チカテツ</t>
    </rPh>
    <phoneticPr fontId="2"/>
  </si>
  <si>
    <t>aaa～bbb</t>
    <phoneticPr fontId="2"/>
  </si>
  <si>
    <t>定期</t>
    <rPh sb="0" eb="2">
      <t>テイキ</t>
    </rPh>
    <phoneticPr fontId="2"/>
  </si>
  <si>
    <t>bbb～ccc</t>
    <phoneticPr fontId="2"/>
  </si>
  <si>
    <t>ccc～ddd</t>
    <phoneticPr fontId="2"/>
  </si>
  <si>
    <t>随時</t>
    <rPh sb="0" eb="2">
      <t>ズイジ</t>
    </rPh>
    <phoneticPr fontId="2"/>
  </si>
  <si>
    <t>10,000</t>
    <phoneticPr fontId="2"/>
  </si>
  <si>
    <t>5,000</t>
    <phoneticPr fontId="2"/>
  </si>
  <si>
    <t>3,000</t>
    <phoneticPr fontId="2"/>
  </si>
  <si>
    <t>500円×10日</t>
    <rPh sb="3" eb="4">
      <t>エン</t>
    </rPh>
    <rPh sb="7" eb="8">
      <t>ニチ</t>
    </rPh>
    <phoneticPr fontId="2"/>
  </si>
  <si>
    <t>イメージ</t>
  </si>
  <si>
    <t>イメージ</t>
    <phoneticPr fontId="2"/>
  </si>
  <si>
    <t>年月日</t>
    <rPh sb="0" eb="3">
      <t>ネンガッピ</t>
    </rPh>
    <phoneticPr fontId="2"/>
  </si>
  <si>
    <t>20170501</t>
    <phoneticPr fontId="2"/>
  </si>
  <si>
    <t>経費区分</t>
    <rPh sb="0" eb="2">
      <t>ケイヒ</t>
    </rPh>
    <rPh sb="2" eb="4">
      <t>クブン</t>
    </rPh>
    <phoneticPr fontId="2"/>
  </si>
  <si>
    <t>交通費</t>
    <rPh sb="0" eb="3">
      <t>コウツウヒ</t>
    </rPh>
    <phoneticPr fontId="2"/>
  </si>
  <si>
    <t>接待交際費</t>
    <rPh sb="0" eb="2">
      <t>セッタイ</t>
    </rPh>
    <rPh sb="2" eb="5">
      <t>コウサイヒ</t>
    </rPh>
    <phoneticPr fontId="2"/>
  </si>
  <si>
    <t>雑費</t>
    <rPh sb="0" eb="2">
      <t>ザッピ</t>
    </rPh>
    <phoneticPr fontId="2"/>
  </si>
  <si>
    <t>内容</t>
    <rPh sb="0" eb="2">
      <t>ナイヨウ</t>
    </rPh>
    <phoneticPr fontId="2"/>
  </si>
  <si>
    <t>客先打合せ（aa駅～bb駅往復）</t>
    <rPh sb="0" eb="2">
      <t>キャクサキ</t>
    </rPh>
    <rPh sb="2" eb="4">
      <t>ウチアワ</t>
    </rPh>
    <rPh sb="8" eb="9">
      <t>エキ</t>
    </rPh>
    <rPh sb="12" eb="13">
      <t>エキ</t>
    </rPh>
    <rPh sb="13" eb="15">
      <t>オウフク</t>
    </rPh>
    <phoneticPr fontId="2"/>
  </si>
  <si>
    <t>客先打合せ（bb駅～cc駅片道）</t>
    <rPh sb="0" eb="2">
      <t>キャクサキ</t>
    </rPh>
    <rPh sb="2" eb="4">
      <t>ウチアワ</t>
    </rPh>
    <rPh sb="8" eb="9">
      <t>エキ</t>
    </rPh>
    <rPh sb="12" eb="13">
      <t>エキ</t>
    </rPh>
    <rPh sb="13" eb="15">
      <t>カタミチ</t>
    </rPh>
    <phoneticPr fontId="2"/>
  </si>
  <si>
    <t>○○社接待</t>
    <rPh sb="2" eb="3">
      <t>シャ</t>
    </rPh>
    <rPh sb="3" eb="5">
      <t>セッタイ</t>
    </rPh>
    <phoneticPr fontId="2"/>
  </si>
  <si>
    <t>コピー代</t>
    <rPh sb="3" eb="4">
      <t>ダイ</t>
    </rPh>
    <phoneticPr fontId="2"/>
  </si>
  <si>
    <t>1,000</t>
    <phoneticPr fontId="2"/>
  </si>
  <si>
    <t>500</t>
    <phoneticPr fontId="2"/>
  </si>
  <si>
    <t>100</t>
    <phoneticPr fontId="2"/>
  </si>
  <si>
    <t>金額</t>
    <rPh sb="0" eb="2">
      <t>キンガク</t>
    </rPh>
    <phoneticPr fontId="2"/>
  </si>
  <si>
    <t>(PK)</t>
    <phoneticPr fontId="2"/>
  </si>
  <si>
    <t>購入区分</t>
    <rPh sb="0" eb="2">
      <t>コウニュウ</t>
    </rPh>
    <rPh sb="2" eb="4">
      <t>クブン</t>
    </rPh>
    <phoneticPr fontId="2"/>
  </si>
  <si>
    <t>区間</t>
    <rPh sb="0" eb="2">
      <t>クカン</t>
    </rPh>
    <phoneticPr fontId="2"/>
  </si>
  <si>
    <t>※申請と明細が1対Nになる</t>
    <rPh sb="1" eb="3">
      <t>シンセイ</t>
    </rPh>
    <rPh sb="4" eb="6">
      <t>メイサイ</t>
    </rPh>
    <rPh sb="8" eb="9">
      <t>タイ</t>
    </rPh>
    <phoneticPr fontId="2"/>
  </si>
  <si>
    <t>年月</t>
    <rPh sb="0" eb="2">
      <t>ネンゲツ</t>
    </rPh>
    <phoneticPr fontId="2"/>
  </si>
  <si>
    <t>日</t>
    <rPh sb="0" eb="1">
      <t>ヒ</t>
    </rPh>
    <phoneticPr fontId="2"/>
  </si>
  <si>
    <t>201805</t>
    <phoneticPr fontId="2"/>
  </si>
  <si>
    <t>明細No.</t>
    <rPh sb="0" eb="2">
      <t>メイサイ</t>
    </rPh>
    <phoneticPr fontId="2"/>
  </si>
  <si>
    <t>ATTENDANCE</t>
    <phoneticPr fontId="2"/>
  </si>
  <si>
    <t>ATTENDANCE_MST</t>
    <phoneticPr fontId="2"/>
  </si>
  <si>
    <t>EMPLOYEE_MST</t>
    <phoneticPr fontId="2"/>
  </si>
  <si>
    <t>HOLIDAY_MST</t>
    <phoneticPr fontId="2"/>
  </si>
  <si>
    <t>APPLICATION</t>
    <phoneticPr fontId="2"/>
  </si>
  <si>
    <t>APPLICATION_MST</t>
    <phoneticPr fontId="2"/>
  </si>
  <si>
    <t>CLOSE</t>
    <phoneticPr fontId="2"/>
  </si>
  <si>
    <t>PAID_HOLIDAY</t>
    <phoneticPr fontId="2"/>
  </si>
  <si>
    <t>APPLICATION_DETAIL</t>
    <phoneticPr fontId="2"/>
  </si>
  <si>
    <t>HOLIDAY_APPLICATION</t>
    <phoneticPr fontId="2"/>
  </si>
  <si>
    <t>COMMUTING_APPLICATION</t>
    <phoneticPr fontId="2"/>
  </si>
  <si>
    <t>EXPENSE_APPLICATION</t>
    <phoneticPr fontId="2"/>
  </si>
  <si>
    <t>BOOK_PURCHASE_APPLICATION</t>
    <phoneticPr fontId="2"/>
  </si>
  <si>
    <t>HOLIDAY_WORK_APPLICATION</t>
    <phoneticPr fontId="2"/>
  </si>
  <si>
    <t>組織マスタ</t>
    <rPh sb="0" eb="2">
      <t>ソシキ</t>
    </rPh>
    <phoneticPr fontId="2"/>
  </si>
  <si>
    <t>SYSTEM_MST</t>
    <phoneticPr fontId="2"/>
  </si>
  <si>
    <t>部署、グループの体系を管理する</t>
    <rPh sb="0" eb="2">
      <t>ブショ</t>
    </rPh>
    <rPh sb="8" eb="10">
      <t>タイケイ</t>
    </rPh>
    <rPh sb="11" eb="13">
      <t>カンリ</t>
    </rPh>
    <phoneticPr fontId="2"/>
  </si>
  <si>
    <t>(PK)</t>
  </si>
  <si>
    <t>承認順位</t>
    <rPh sb="0" eb="2">
      <t>ショウニン</t>
    </rPh>
    <rPh sb="2" eb="4">
      <t>ジュンイ</t>
    </rPh>
    <phoneticPr fontId="2"/>
  </si>
  <si>
    <t>(PK)</t>
    <phoneticPr fontId="2"/>
  </si>
  <si>
    <t>1(一次承認者)</t>
    <rPh sb="2" eb="4">
      <t>イチジ</t>
    </rPh>
    <rPh sb="4" eb="6">
      <t>ショウニン</t>
    </rPh>
    <rPh sb="6" eb="7">
      <t>シャ</t>
    </rPh>
    <phoneticPr fontId="2"/>
  </si>
  <si>
    <t>承認者</t>
    <rPh sb="0" eb="2">
      <t>ショウニン</t>
    </rPh>
    <rPh sb="2" eb="3">
      <t>シャ</t>
    </rPh>
    <phoneticPr fontId="2"/>
  </si>
  <si>
    <t>9(管理部)</t>
    <rPh sb="2" eb="5">
      <t>カンリブ</t>
    </rPh>
    <phoneticPr fontId="2"/>
  </si>
  <si>
    <t>高橋</t>
    <rPh sb="0" eb="2">
      <t>タカハシ</t>
    </rPh>
    <phoneticPr fontId="2"/>
  </si>
  <si>
    <t>東</t>
    <rPh sb="0" eb="1">
      <t>ヒガシ</t>
    </rPh>
    <phoneticPr fontId="2"/>
  </si>
  <si>
    <t>徳田</t>
    <rPh sb="0" eb="2">
      <t>トクダ</t>
    </rPh>
    <phoneticPr fontId="2"/>
  </si>
  <si>
    <t>イメージ</t>
    <phoneticPr fontId="2"/>
  </si>
  <si>
    <t>橋本</t>
    <rPh sb="0" eb="2">
      <t>ハシモト</t>
    </rPh>
    <phoneticPr fontId="2"/>
  </si>
  <si>
    <t>組織番号</t>
    <rPh sb="0" eb="2">
      <t>ソシキ</t>
    </rPh>
    <rPh sb="2" eb="4">
      <t>バンゴウ</t>
    </rPh>
    <phoneticPr fontId="2"/>
  </si>
  <si>
    <t>000</t>
    <phoneticPr fontId="2"/>
  </si>
  <si>
    <t>組織名</t>
    <rPh sb="0" eb="3">
      <t>ソシキメイ</t>
    </rPh>
    <phoneticPr fontId="2"/>
  </si>
  <si>
    <t>株式会社ビュフォート</t>
    <rPh sb="0" eb="4">
      <t>カブシキガイシャ</t>
    </rPh>
    <phoneticPr fontId="2"/>
  </si>
  <si>
    <t>上位組織番号</t>
    <rPh sb="0" eb="2">
      <t>ジョウイ</t>
    </rPh>
    <rPh sb="2" eb="4">
      <t>ソシキ</t>
    </rPh>
    <rPh sb="4" eb="6">
      <t>バンゴウ</t>
    </rPh>
    <phoneticPr fontId="2"/>
  </si>
  <si>
    <t>-</t>
    <phoneticPr fontId="2"/>
  </si>
  <si>
    <t>001</t>
    <phoneticPr fontId="2"/>
  </si>
  <si>
    <t>002</t>
    <phoneticPr fontId="2"/>
  </si>
  <si>
    <t>システム開発事業部</t>
    <rPh sb="4" eb="6">
      <t>カイハツ</t>
    </rPh>
    <rPh sb="6" eb="8">
      <t>ジギョウ</t>
    </rPh>
    <rPh sb="8" eb="9">
      <t>ブ</t>
    </rPh>
    <phoneticPr fontId="2"/>
  </si>
  <si>
    <t>020</t>
    <phoneticPr fontId="2"/>
  </si>
  <si>
    <t>021</t>
    <phoneticPr fontId="2"/>
  </si>
  <si>
    <t>第1グループ</t>
    <rPh sb="0" eb="1">
      <t>ダイ</t>
    </rPh>
    <phoneticPr fontId="2"/>
  </si>
  <si>
    <t>第2グループ</t>
    <rPh sb="0" eb="1">
      <t>ダイ</t>
    </rPh>
    <phoneticPr fontId="2"/>
  </si>
  <si>
    <t>022</t>
    <phoneticPr fontId="2"/>
  </si>
  <si>
    <t>海外事業推進グループ</t>
    <rPh sb="0" eb="2">
      <t>カイガイ</t>
    </rPh>
    <rPh sb="2" eb="4">
      <t>ジギョウ</t>
    </rPh>
    <rPh sb="4" eb="6">
      <t>スイシン</t>
    </rPh>
    <phoneticPr fontId="2"/>
  </si>
  <si>
    <t>※採番体系</t>
    <rPh sb="1" eb="3">
      <t>サイバン</t>
    </rPh>
    <rPh sb="3" eb="5">
      <t>タイケイ</t>
    </rPh>
    <phoneticPr fontId="2"/>
  </si>
  <si>
    <t>xxグループ　：</t>
    <phoneticPr fontId="2"/>
  </si>
  <si>
    <t>1桁目は現時点では未使用("0"固定)</t>
    <rPh sb="1" eb="2">
      <t>ケタ</t>
    </rPh>
    <rPh sb="2" eb="3">
      <t>メ</t>
    </rPh>
    <rPh sb="4" eb="7">
      <t>ゲンジテン</t>
    </rPh>
    <rPh sb="9" eb="12">
      <t>ミシヨウ</t>
    </rPh>
    <rPh sb="16" eb="18">
      <t>コテイ</t>
    </rPh>
    <phoneticPr fontId="2"/>
  </si>
  <si>
    <t>2桁目　：上位組織の番号の下1桁(システム開発事業部の場合、"2")</t>
    <rPh sb="1" eb="2">
      <t>ケタ</t>
    </rPh>
    <rPh sb="2" eb="3">
      <t>メ</t>
    </rPh>
    <phoneticPr fontId="2"/>
  </si>
  <si>
    <t>3桁目　：0から連番</t>
    <rPh sb="1" eb="2">
      <t>ケタ</t>
    </rPh>
    <rPh sb="2" eb="3">
      <t>メ</t>
    </rPh>
    <phoneticPr fontId="2"/>
  </si>
  <si>
    <t>新たに部とグループが設立された場合、部は"003”、配下のグループは"030"～となる</t>
    <rPh sb="0" eb="1">
      <t>アラ</t>
    </rPh>
    <rPh sb="3" eb="4">
      <t>ブ</t>
    </rPh>
    <rPh sb="10" eb="12">
      <t>セツリツ</t>
    </rPh>
    <rPh sb="15" eb="17">
      <t>バアイ</t>
    </rPh>
    <rPh sb="18" eb="19">
      <t>ブ</t>
    </rPh>
    <rPh sb="26" eb="28">
      <t>ハイカ</t>
    </rPh>
    <phoneticPr fontId="2"/>
  </si>
  <si>
    <t>xx部　：　現時点では001～009を順次使用</t>
    <rPh sb="2" eb="3">
      <t>ブ</t>
    </rPh>
    <rPh sb="6" eb="9">
      <t>ゲンジテン</t>
    </rPh>
    <rPh sb="19" eb="21">
      <t>ジュンジ</t>
    </rPh>
    <rPh sb="21" eb="23">
      <t>シヨウ</t>
    </rPh>
    <phoneticPr fontId="2"/>
  </si>
  <si>
    <t>経営管理グループ</t>
    <rPh sb="0" eb="2">
      <t>ケイエイ</t>
    </rPh>
    <rPh sb="2" eb="4">
      <t>カンリ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</si>
</sst>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Yu Gothic"/>
      <family val="2"/>
      <scheme val="minor"/>
    </font>
    <font>
      <sz val="9"/>
      <color theme="1"/>
      <name val="Meiryo UI"/>
      <family val="3"/>
      <charset val="128"/>
    </font>
    <font>
      <sz val="6"/>
      <name val="Yu Gothic"/>
      <family val="3"/>
      <charset val="128"/>
      <scheme val="minor"/>
    </font>
    <font>
      <sz val="10"/>
      <color theme="1"/>
      <name val="Meiryo UI"/>
      <family val="3"/>
      <charset val="128"/>
    </font>
    <font>
      <sz val="8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3" fillId="0" borderId="0" xfId="0" applyFont="1"/>
    <xf numFmtId="0" fontId="1" fillId="0" borderId="2" xfId="0" applyFont="1" applyBorder="1"/>
    <xf numFmtId="0" fontId="1" fillId="0" borderId="1" xfId="0" applyFont="1" applyBorder="1" applyAlignment="1">
      <alignment vertical="center"/>
    </xf>
    <xf numFmtId="0" fontId="4" fillId="0" borderId="0" xfId="0" applyFont="1"/>
    <xf numFmtId="0" fontId="3" fillId="0" borderId="0" xfId="0" applyFont="1" applyFill="1"/>
    <xf numFmtId="0" fontId="4" fillId="0" borderId="0" xfId="0" applyFont="1" applyFill="1"/>
    <xf numFmtId="0" fontId="4" fillId="3" borderId="0" xfId="0" applyFont="1" applyFill="1"/>
    <xf numFmtId="0" fontId="3" fillId="3" borderId="0" xfId="0" applyFont="1" applyFill="1"/>
    <xf numFmtId="0" fontId="3" fillId="0" borderId="0" xfId="0" quotePrefix="1" applyFont="1"/>
    <xf numFmtId="0" fontId="4" fillId="0" borderId="0" xfId="0" quotePrefix="1" applyFont="1"/>
    <xf numFmtId="0" fontId="3" fillId="0" borderId="3" xfId="0" applyFont="1" applyBorder="1"/>
    <xf numFmtId="0" fontId="3" fillId="0" borderId="4" xfId="0" applyFont="1" applyBorder="1"/>
    <xf numFmtId="0" fontId="4" fillId="0" borderId="4" xfId="0" applyFont="1" applyBorder="1"/>
    <xf numFmtId="0" fontId="3" fillId="0" borderId="5" xfId="0" applyFont="1" applyBorder="1"/>
    <xf numFmtId="0" fontId="4" fillId="0" borderId="6" xfId="0" applyFont="1" applyBorder="1"/>
    <xf numFmtId="0" fontId="4" fillId="0" borderId="0" xfId="0" applyFont="1" applyBorder="1"/>
    <xf numFmtId="0" fontId="4" fillId="0" borderId="7" xfId="0" applyFont="1" applyBorder="1"/>
    <xf numFmtId="0" fontId="4" fillId="0" borderId="0" xfId="0" quotePrefix="1" applyFont="1" applyBorder="1"/>
    <xf numFmtId="0" fontId="3" fillId="0" borderId="8" xfId="0" applyFont="1" applyBorder="1"/>
    <xf numFmtId="0" fontId="3" fillId="0" borderId="9" xfId="0" applyFont="1" applyBorder="1"/>
    <xf numFmtId="0" fontId="4" fillId="0" borderId="9" xfId="0" applyFont="1" applyBorder="1"/>
    <xf numFmtId="0" fontId="3" fillId="0" borderId="10" xfId="0" applyFont="1" applyBorder="1"/>
    <xf numFmtId="0" fontId="4" fillId="0" borderId="3" xfId="0" applyFont="1" applyBorder="1"/>
    <xf numFmtId="0" fontId="4" fillId="0" borderId="5" xfId="0" applyFont="1" applyBorder="1"/>
    <xf numFmtId="0" fontId="4" fillId="0" borderId="4" xfId="0" quotePrefix="1" applyFont="1" applyBorder="1"/>
    <xf numFmtId="0" fontId="3" fillId="0" borderId="0" xfId="0" applyFont="1" applyBorder="1"/>
    <xf numFmtId="0" fontId="3" fillId="0" borderId="7" xfId="0" applyFont="1" applyBorder="1"/>
    <xf numFmtId="0" fontId="4" fillId="0" borderId="8" xfId="0" applyFont="1" applyBorder="1"/>
    <xf numFmtId="0" fontId="4" fillId="0" borderId="9" xfId="0" quotePrefix="1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2" xfId="0" applyFont="1" applyBorder="1"/>
    <xf numFmtId="0" fontId="4" fillId="3" borderId="0" xfId="0" quotePrefix="1" applyFont="1" applyFill="1"/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" fillId="2" borderId="1" xfId="0" applyFont="1" applyFill="1" applyBorder="1" applyAlignment="1"/>
    <xf numFmtId="0" fontId="0" fillId="2" borderId="1" xfId="0" applyFill="1" applyBorder="1" applyAlignment="1"/>
    <xf numFmtId="0" fontId="0" fillId="0" borderId="1" xfId="0" applyBorder="1" applyAlignment="1"/>
    <xf numFmtId="0" fontId="1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222250</xdr:colOff>
      <xdr:row>1</xdr:row>
      <xdr:rowOff>0</xdr:rowOff>
    </xdr:from>
    <xdr:to>
      <xdr:col>19</xdr:col>
      <xdr:colOff>219075</xdr:colOff>
      <xdr:row>5</xdr:row>
      <xdr:rowOff>0</xdr:rowOff>
    </xdr:to>
    <xdr:sp macro="" textlink="">
      <xdr:nvSpPr>
        <xdr:cNvPr id="2" name="正方形/長方形 1"/>
        <xdr:cNvSpPr/>
      </xdr:nvSpPr>
      <xdr:spPr>
        <a:xfrm>
          <a:off x="4641850" y="152400"/>
          <a:ext cx="8255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222250</xdr:colOff>
      <xdr:row>1</xdr:row>
      <xdr:rowOff>0</xdr:rowOff>
    </xdr:from>
    <xdr:to>
      <xdr:col>19</xdr:col>
      <xdr:colOff>219075</xdr:colOff>
      <xdr:row>4</xdr:row>
      <xdr:rowOff>0</xdr:rowOff>
    </xdr:to>
    <xdr:sp macro="" textlink="">
      <xdr:nvSpPr>
        <xdr:cNvPr id="3" name="テキスト ボックス 2"/>
        <xdr:cNvSpPr txBox="1"/>
      </xdr:nvSpPr>
      <xdr:spPr>
        <a:xfrm>
          <a:off x="4641850" y="152400"/>
          <a:ext cx="8255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株式会社</a:t>
          </a:r>
          <a:endParaRPr kumimoji="1" lang="en-US" altLang="ja-JP" sz="800">
            <a:solidFill>
              <a:sysClr val="windowText" lastClr="000000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ビュフォート</a:t>
          </a:r>
        </a:p>
      </xdr:txBody>
    </xdr:sp>
    <xdr:clientData/>
  </xdr:twoCellAnchor>
  <xdr:twoCellAnchor>
    <xdr:from>
      <xdr:col>18</xdr:col>
      <xdr:colOff>82550</xdr:colOff>
      <xdr:row>5</xdr:row>
      <xdr:rowOff>0</xdr:rowOff>
    </xdr:from>
    <xdr:to>
      <xdr:col>18</xdr:col>
      <xdr:colOff>82550</xdr:colOff>
      <xdr:row>15</xdr:row>
      <xdr:rowOff>9525</xdr:rowOff>
    </xdr:to>
    <xdr:cxnSp macro="">
      <xdr:nvCxnSpPr>
        <xdr:cNvPr id="4" name="直線コネクタ 20"/>
        <xdr:cNvCxnSpPr>
          <a:stCxn id="2" idx="2"/>
          <a:endCxn id="6" idx="0"/>
        </xdr:cNvCxnSpPr>
      </xdr:nvCxnSpPr>
      <xdr:spPr>
        <a:xfrm>
          <a:off x="5054600" y="762000"/>
          <a:ext cx="0" cy="1533525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222250</xdr:colOff>
      <xdr:row>15</xdr:row>
      <xdr:rowOff>9525</xdr:rowOff>
    </xdr:from>
    <xdr:to>
      <xdr:col>19</xdr:col>
      <xdr:colOff>219075</xdr:colOff>
      <xdr:row>19</xdr:row>
      <xdr:rowOff>9525</xdr:rowOff>
    </xdr:to>
    <xdr:sp macro="" textlink="">
      <xdr:nvSpPr>
        <xdr:cNvPr id="6" name="正方形/長方形 5"/>
        <xdr:cNvSpPr/>
      </xdr:nvSpPr>
      <xdr:spPr>
        <a:xfrm>
          <a:off x="4641850" y="2295525"/>
          <a:ext cx="8255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222250</xdr:colOff>
      <xdr:row>15</xdr:row>
      <xdr:rowOff>9524</xdr:rowOff>
    </xdr:from>
    <xdr:to>
      <xdr:col>19</xdr:col>
      <xdr:colOff>219075</xdr:colOff>
      <xdr:row>18</xdr:row>
      <xdr:rowOff>95249</xdr:rowOff>
    </xdr:to>
    <xdr:sp macro="" textlink="">
      <xdr:nvSpPr>
        <xdr:cNvPr id="7" name="テキスト ボックス 6"/>
        <xdr:cNvSpPr txBox="1"/>
      </xdr:nvSpPr>
      <xdr:spPr>
        <a:xfrm>
          <a:off x="4641850" y="2295524"/>
          <a:ext cx="825500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経営管理グループ</a:t>
          </a:r>
        </a:p>
      </xdr:txBody>
    </xdr:sp>
    <xdr:clientData/>
  </xdr:twoCellAnchor>
  <xdr:twoCellAnchor>
    <xdr:from>
      <xdr:col>20</xdr:col>
      <xdr:colOff>219075</xdr:colOff>
      <xdr:row>9</xdr:row>
      <xdr:rowOff>0</xdr:rowOff>
    </xdr:from>
    <xdr:to>
      <xdr:col>23</xdr:col>
      <xdr:colOff>219075</xdr:colOff>
      <xdr:row>13</xdr:row>
      <xdr:rowOff>0</xdr:rowOff>
    </xdr:to>
    <xdr:sp macro="" textlink="">
      <xdr:nvSpPr>
        <xdr:cNvPr id="13" name="正方形/長方形 12"/>
        <xdr:cNvSpPr/>
      </xdr:nvSpPr>
      <xdr:spPr>
        <a:xfrm>
          <a:off x="5743575" y="1371600"/>
          <a:ext cx="828675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219075</xdr:colOff>
      <xdr:row>9</xdr:row>
      <xdr:rowOff>0</xdr:rowOff>
    </xdr:from>
    <xdr:to>
      <xdr:col>23</xdr:col>
      <xdr:colOff>215900</xdr:colOff>
      <xdr:row>12</xdr:row>
      <xdr:rowOff>0</xdr:rowOff>
    </xdr:to>
    <xdr:sp macro="" textlink="">
      <xdr:nvSpPr>
        <xdr:cNvPr id="14" name="テキスト ボックス 13"/>
        <xdr:cNvSpPr txBox="1"/>
      </xdr:nvSpPr>
      <xdr:spPr>
        <a:xfrm>
          <a:off x="5743575" y="1371600"/>
          <a:ext cx="8255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システム開発</a:t>
          </a:r>
          <a:endParaRPr kumimoji="1" lang="en-US" altLang="ja-JP" sz="800">
            <a:solidFill>
              <a:sysClr val="windowText" lastClr="000000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事業部</a:t>
          </a:r>
        </a:p>
      </xdr:txBody>
    </xdr:sp>
    <xdr:clientData/>
  </xdr:twoCellAnchor>
  <xdr:twoCellAnchor>
    <xdr:from>
      <xdr:col>18</xdr:col>
      <xdr:colOff>82549</xdr:colOff>
      <xdr:row>5</xdr:row>
      <xdr:rowOff>0</xdr:rowOff>
    </xdr:from>
    <xdr:to>
      <xdr:col>22</xdr:col>
      <xdr:colOff>80962</xdr:colOff>
      <xdr:row>9</xdr:row>
      <xdr:rowOff>0</xdr:rowOff>
    </xdr:to>
    <xdr:cxnSp macro="">
      <xdr:nvCxnSpPr>
        <xdr:cNvPr id="15" name="直線コネクタ 20"/>
        <xdr:cNvCxnSpPr>
          <a:stCxn id="2" idx="2"/>
          <a:endCxn id="13" idx="0"/>
        </xdr:cNvCxnSpPr>
      </xdr:nvCxnSpPr>
      <xdr:spPr>
        <a:xfrm rot="16200000" flipH="1">
          <a:off x="5301456" y="515143"/>
          <a:ext cx="609600" cy="1103313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228599</xdr:colOff>
      <xdr:row>15</xdr:row>
      <xdr:rowOff>0</xdr:rowOff>
    </xdr:from>
    <xdr:to>
      <xdr:col>23</xdr:col>
      <xdr:colOff>228599</xdr:colOff>
      <xdr:row>19</xdr:row>
      <xdr:rowOff>0</xdr:rowOff>
    </xdr:to>
    <xdr:sp macro="" textlink="">
      <xdr:nvSpPr>
        <xdr:cNvPr id="18" name="正方形/長方形 17"/>
        <xdr:cNvSpPr/>
      </xdr:nvSpPr>
      <xdr:spPr>
        <a:xfrm>
          <a:off x="5753099" y="2286000"/>
          <a:ext cx="828675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219075</xdr:colOff>
      <xdr:row>15</xdr:row>
      <xdr:rowOff>0</xdr:rowOff>
    </xdr:from>
    <xdr:to>
      <xdr:col>23</xdr:col>
      <xdr:colOff>215900</xdr:colOff>
      <xdr:row>18</xdr:row>
      <xdr:rowOff>0</xdr:rowOff>
    </xdr:to>
    <xdr:sp macro="" textlink="">
      <xdr:nvSpPr>
        <xdr:cNvPr id="19" name="テキスト ボックス 18"/>
        <xdr:cNvSpPr txBox="1"/>
      </xdr:nvSpPr>
      <xdr:spPr>
        <a:xfrm>
          <a:off x="5743575" y="2286000"/>
          <a:ext cx="8255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第</a:t>
          </a:r>
          <a:r>
            <a:rPr kumimoji="1" lang="en-US" altLang="ja-JP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グループ</a:t>
          </a:r>
        </a:p>
      </xdr:txBody>
    </xdr:sp>
    <xdr:clientData/>
  </xdr:twoCellAnchor>
  <xdr:twoCellAnchor>
    <xdr:from>
      <xdr:col>24</xdr:col>
      <xdr:colOff>219075</xdr:colOff>
      <xdr:row>15</xdr:row>
      <xdr:rowOff>0</xdr:rowOff>
    </xdr:from>
    <xdr:to>
      <xdr:col>27</xdr:col>
      <xdr:colOff>219075</xdr:colOff>
      <xdr:row>19</xdr:row>
      <xdr:rowOff>0</xdr:rowOff>
    </xdr:to>
    <xdr:sp macro="" textlink="">
      <xdr:nvSpPr>
        <xdr:cNvPr id="20" name="正方形/長方形 19"/>
        <xdr:cNvSpPr/>
      </xdr:nvSpPr>
      <xdr:spPr>
        <a:xfrm>
          <a:off x="6848475" y="2286000"/>
          <a:ext cx="828675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219075</xdr:colOff>
      <xdr:row>15</xdr:row>
      <xdr:rowOff>0</xdr:rowOff>
    </xdr:from>
    <xdr:to>
      <xdr:col>27</xdr:col>
      <xdr:colOff>215900</xdr:colOff>
      <xdr:row>18</xdr:row>
      <xdr:rowOff>0</xdr:rowOff>
    </xdr:to>
    <xdr:sp macro="" textlink="">
      <xdr:nvSpPr>
        <xdr:cNvPr id="21" name="テキスト ボックス 20"/>
        <xdr:cNvSpPr txBox="1"/>
      </xdr:nvSpPr>
      <xdr:spPr>
        <a:xfrm>
          <a:off x="6848475" y="2286000"/>
          <a:ext cx="8255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第</a:t>
          </a:r>
          <a:r>
            <a:rPr kumimoji="1" lang="en-US" altLang="ja-JP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</a:t>
          </a:r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グループ</a:t>
          </a:r>
        </a:p>
      </xdr:txBody>
    </xdr:sp>
    <xdr:clientData/>
  </xdr:twoCellAnchor>
  <xdr:twoCellAnchor>
    <xdr:from>
      <xdr:col>28</xdr:col>
      <xdr:colOff>219075</xdr:colOff>
      <xdr:row>15</xdr:row>
      <xdr:rowOff>0</xdr:rowOff>
    </xdr:from>
    <xdr:to>
      <xdr:col>31</xdr:col>
      <xdr:colOff>215900</xdr:colOff>
      <xdr:row>19</xdr:row>
      <xdr:rowOff>0</xdr:rowOff>
    </xdr:to>
    <xdr:sp macro="" textlink="">
      <xdr:nvSpPr>
        <xdr:cNvPr id="22" name="正方形/長方形 21"/>
        <xdr:cNvSpPr/>
      </xdr:nvSpPr>
      <xdr:spPr>
        <a:xfrm>
          <a:off x="7953375" y="2286000"/>
          <a:ext cx="8255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219075</xdr:colOff>
      <xdr:row>14</xdr:row>
      <xdr:rowOff>152399</xdr:rowOff>
    </xdr:from>
    <xdr:to>
      <xdr:col>31</xdr:col>
      <xdr:colOff>215900</xdr:colOff>
      <xdr:row>18</xdr:row>
      <xdr:rowOff>104774</xdr:rowOff>
    </xdr:to>
    <xdr:sp macro="" textlink="">
      <xdr:nvSpPr>
        <xdr:cNvPr id="23" name="テキスト ボックス 22"/>
        <xdr:cNvSpPr txBox="1"/>
      </xdr:nvSpPr>
      <xdr:spPr>
        <a:xfrm>
          <a:off x="7953375" y="2285999"/>
          <a:ext cx="825500" cy="561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海外事業</a:t>
          </a:r>
          <a:endParaRPr kumimoji="1" lang="en-US" altLang="ja-JP" sz="800">
            <a:solidFill>
              <a:sysClr val="windowText" lastClr="000000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推進グループ</a:t>
          </a:r>
        </a:p>
      </xdr:txBody>
    </xdr:sp>
    <xdr:clientData/>
  </xdr:twoCellAnchor>
  <xdr:twoCellAnchor>
    <xdr:from>
      <xdr:col>22</xdr:col>
      <xdr:colOff>79375</xdr:colOff>
      <xdr:row>13</xdr:row>
      <xdr:rowOff>0</xdr:rowOff>
    </xdr:from>
    <xdr:to>
      <xdr:col>22</xdr:col>
      <xdr:colOff>80963</xdr:colOff>
      <xdr:row>15</xdr:row>
      <xdr:rowOff>0</xdr:rowOff>
    </xdr:to>
    <xdr:cxnSp macro="">
      <xdr:nvCxnSpPr>
        <xdr:cNvPr id="24" name="直線コネクタ 20"/>
        <xdr:cNvCxnSpPr>
          <a:stCxn id="13" idx="2"/>
          <a:endCxn id="19" idx="0"/>
        </xdr:cNvCxnSpPr>
      </xdr:nvCxnSpPr>
      <xdr:spPr>
        <a:xfrm rot="5400000">
          <a:off x="6004719" y="2132806"/>
          <a:ext cx="304800" cy="1588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80963</xdr:colOff>
      <xdr:row>13</xdr:row>
      <xdr:rowOff>0</xdr:rowOff>
    </xdr:from>
    <xdr:to>
      <xdr:col>26</xdr:col>
      <xdr:colOff>80963</xdr:colOff>
      <xdr:row>15</xdr:row>
      <xdr:rowOff>0</xdr:rowOff>
    </xdr:to>
    <xdr:cxnSp macro="">
      <xdr:nvCxnSpPr>
        <xdr:cNvPr id="31" name="直線コネクタ 20"/>
        <xdr:cNvCxnSpPr>
          <a:stCxn id="13" idx="2"/>
          <a:endCxn id="20" idx="0"/>
        </xdr:cNvCxnSpPr>
      </xdr:nvCxnSpPr>
      <xdr:spPr>
        <a:xfrm rot="16200000" flipH="1">
          <a:off x="6557963" y="1581150"/>
          <a:ext cx="304800" cy="1104900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80964</xdr:colOff>
      <xdr:row>12</xdr:row>
      <xdr:rowOff>152399</xdr:rowOff>
    </xdr:from>
    <xdr:to>
      <xdr:col>30</xdr:col>
      <xdr:colOff>79376</xdr:colOff>
      <xdr:row>14</xdr:row>
      <xdr:rowOff>152398</xdr:rowOff>
    </xdr:to>
    <xdr:cxnSp macro="">
      <xdr:nvCxnSpPr>
        <xdr:cNvPr id="53" name="直線コネクタ 20"/>
        <xdr:cNvCxnSpPr>
          <a:stCxn id="13" idx="2"/>
          <a:endCxn id="23" idx="0"/>
        </xdr:cNvCxnSpPr>
      </xdr:nvCxnSpPr>
      <xdr:spPr>
        <a:xfrm rot="16200000" flipH="1">
          <a:off x="7109620" y="1029493"/>
          <a:ext cx="304799" cy="2208212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4</xdr:col>
      <xdr:colOff>0</xdr:colOff>
      <xdr:row>4</xdr:row>
      <xdr:rowOff>0</xdr:rowOff>
    </xdr:to>
    <xdr:sp macro="" textlink="">
      <xdr:nvSpPr>
        <xdr:cNvPr id="2" name="正方形/長方形 1"/>
        <xdr:cNvSpPr/>
      </xdr:nvSpPr>
      <xdr:spPr>
        <a:xfrm>
          <a:off x="276225" y="180976"/>
          <a:ext cx="828675" cy="54292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" textlink="">
      <xdr:nvSpPr>
        <xdr:cNvPr id="3" name="テキスト ボックス 2"/>
        <xdr:cNvSpPr txBox="1"/>
      </xdr:nvSpPr>
      <xdr:spPr>
        <a:xfrm>
          <a:off x="276225" y="180975"/>
          <a:ext cx="55245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申請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11</xdr:col>
      <xdr:colOff>0</xdr:colOff>
      <xdr:row>10</xdr:row>
      <xdr:rowOff>171449</xdr:rowOff>
    </xdr:to>
    <xdr:sp macro="" textlink="">
      <xdr:nvSpPr>
        <xdr:cNvPr id="4" name="正方形/長方形 3"/>
        <xdr:cNvSpPr/>
      </xdr:nvSpPr>
      <xdr:spPr>
        <a:xfrm>
          <a:off x="1933575" y="1266825"/>
          <a:ext cx="828675" cy="533399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" name="テキスト ボックス 4"/>
        <xdr:cNvSpPr txBox="1"/>
      </xdr:nvSpPr>
      <xdr:spPr>
        <a:xfrm>
          <a:off x="1657350" y="1085850"/>
          <a:ext cx="8286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申請詳細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4</xdr:col>
      <xdr:colOff>0</xdr:colOff>
      <xdr:row>10</xdr:row>
      <xdr:rowOff>180974</xdr:rowOff>
    </xdr:to>
    <xdr:sp macro="" textlink="">
      <xdr:nvSpPr>
        <xdr:cNvPr id="6" name="正方形/長方形 5"/>
        <xdr:cNvSpPr/>
      </xdr:nvSpPr>
      <xdr:spPr>
        <a:xfrm>
          <a:off x="276225" y="1447800"/>
          <a:ext cx="828675" cy="54292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7" name="テキスト ボックス 6"/>
        <xdr:cNvSpPr txBox="1"/>
      </xdr:nvSpPr>
      <xdr:spPr>
        <a:xfrm>
          <a:off x="276225" y="1447800"/>
          <a:ext cx="8286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勤務時間</a:t>
          </a:r>
        </a:p>
      </xdr:txBody>
    </xdr:sp>
    <xdr:clientData/>
  </xdr:twoCellAnchor>
  <xdr:twoCellAnchor>
    <xdr:from>
      <xdr:col>15</xdr:col>
      <xdr:colOff>0</xdr:colOff>
      <xdr:row>8</xdr:row>
      <xdr:rowOff>0</xdr:rowOff>
    </xdr:from>
    <xdr:to>
      <xdr:col>18</xdr:col>
      <xdr:colOff>0</xdr:colOff>
      <xdr:row>10</xdr:row>
      <xdr:rowOff>180974</xdr:rowOff>
    </xdr:to>
    <xdr:sp macro="" textlink="">
      <xdr:nvSpPr>
        <xdr:cNvPr id="8" name="正方形/長方形 7"/>
        <xdr:cNvSpPr/>
      </xdr:nvSpPr>
      <xdr:spPr>
        <a:xfrm>
          <a:off x="3590925" y="1085850"/>
          <a:ext cx="828675" cy="54292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8</xdr:row>
      <xdr:rowOff>0</xdr:rowOff>
    </xdr:from>
    <xdr:to>
      <xdr:col>18</xdr:col>
      <xdr:colOff>0</xdr:colOff>
      <xdr:row>10</xdr:row>
      <xdr:rowOff>0</xdr:rowOff>
    </xdr:to>
    <xdr:sp macro="" textlink="">
      <xdr:nvSpPr>
        <xdr:cNvPr id="9" name="テキスト ボックス 8"/>
        <xdr:cNvSpPr txBox="1"/>
      </xdr:nvSpPr>
      <xdr:spPr>
        <a:xfrm>
          <a:off x="3590925" y="1085850"/>
          <a:ext cx="8286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休暇取得申請</a:t>
          </a:r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25</xdr:col>
      <xdr:colOff>0</xdr:colOff>
      <xdr:row>10</xdr:row>
      <xdr:rowOff>180974</xdr:rowOff>
    </xdr:to>
    <xdr:sp macro="" textlink="">
      <xdr:nvSpPr>
        <xdr:cNvPr id="10" name="正方形/長方形 9"/>
        <xdr:cNvSpPr/>
      </xdr:nvSpPr>
      <xdr:spPr>
        <a:xfrm>
          <a:off x="3867150" y="1085850"/>
          <a:ext cx="828675" cy="54292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25</xdr:col>
      <xdr:colOff>0</xdr:colOff>
      <xdr:row>10</xdr:row>
      <xdr:rowOff>0</xdr:rowOff>
    </xdr:to>
    <xdr:sp macro="" textlink="">
      <xdr:nvSpPr>
        <xdr:cNvPr id="11" name="テキスト ボックス 10"/>
        <xdr:cNvSpPr txBox="1"/>
      </xdr:nvSpPr>
      <xdr:spPr>
        <a:xfrm>
          <a:off x="3867150" y="1085850"/>
          <a:ext cx="8286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通勤手当申請</a:t>
          </a:r>
        </a:p>
      </xdr:txBody>
    </xdr:sp>
    <xdr:clientData/>
  </xdr:twoCellAnchor>
  <xdr:twoCellAnchor>
    <xdr:from>
      <xdr:col>29</xdr:col>
      <xdr:colOff>0</xdr:colOff>
      <xdr:row>8</xdr:row>
      <xdr:rowOff>0</xdr:rowOff>
    </xdr:from>
    <xdr:to>
      <xdr:col>32</xdr:col>
      <xdr:colOff>0</xdr:colOff>
      <xdr:row>10</xdr:row>
      <xdr:rowOff>180974</xdr:rowOff>
    </xdr:to>
    <xdr:sp macro="" textlink="">
      <xdr:nvSpPr>
        <xdr:cNvPr id="12" name="正方形/長方形 11"/>
        <xdr:cNvSpPr/>
      </xdr:nvSpPr>
      <xdr:spPr>
        <a:xfrm>
          <a:off x="5800725" y="1085850"/>
          <a:ext cx="828675" cy="54292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8</xdr:row>
      <xdr:rowOff>0</xdr:rowOff>
    </xdr:from>
    <xdr:to>
      <xdr:col>32</xdr:col>
      <xdr:colOff>0</xdr:colOff>
      <xdr:row>10</xdr:row>
      <xdr:rowOff>0</xdr:rowOff>
    </xdr:to>
    <xdr:sp macro="" textlink="">
      <xdr:nvSpPr>
        <xdr:cNvPr id="13" name="テキスト ボックス 12"/>
        <xdr:cNvSpPr txBox="1"/>
      </xdr:nvSpPr>
      <xdr:spPr>
        <a:xfrm>
          <a:off x="5800725" y="1085850"/>
          <a:ext cx="8286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経費申請</a:t>
          </a:r>
        </a:p>
      </xdr:txBody>
    </xdr:sp>
    <xdr:clientData/>
  </xdr:twoCellAnchor>
  <xdr:twoCellAnchor>
    <xdr:from>
      <xdr:col>36</xdr:col>
      <xdr:colOff>0</xdr:colOff>
      <xdr:row>8</xdr:row>
      <xdr:rowOff>0</xdr:rowOff>
    </xdr:from>
    <xdr:to>
      <xdr:col>39</xdr:col>
      <xdr:colOff>0</xdr:colOff>
      <xdr:row>10</xdr:row>
      <xdr:rowOff>180974</xdr:rowOff>
    </xdr:to>
    <xdr:sp macro="" textlink="">
      <xdr:nvSpPr>
        <xdr:cNvPr id="14" name="正方形/長方形 13"/>
        <xdr:cNvSpPr/>
      </xdr:nvSpPr>
      <xdr:spPr>
        <a:xfrm>
          <a:off x="7734300" y="1085850"/>
          <a:ext cx="828675" cy="54292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</xdr:row>
      <xdr:rowOff>0</xdr:rowOff>
    </xdr:from>
    <xdr:to>
      <xdr:col>39</xdr:col>
      <xdr:colOff>0</xdr:colOff>
      <xdr:row>10</xdr:row>
      <xdr:rowOff>180974</xdr:rowOff>
    </xdr:to>
    <xdr:sp macro="" textlink="">
      <xdr:nvSpPr>
        <xdr:cNvPr id="15" name="テキスト ボックス 14"/>
        <xdr:cNvSpPr txBox="1"/>
      </xdr:nvSpPr>
      <xdr:spPr>
        <a:xfrm>
          <a:off x="9667875" y="1447800"/>
          <a:ext cx="828675" cy="542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書籍購入</a:t>
          </a:r>
          <a:endParaRPr kumimoji="1" lang="en-US" altLang="ja-JP" sz="800">
            <a:solidFill>
              <a:sysClr val="windowText" lastClr="000000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支援申請</a:t>
          </a:r>
        </a:p>
      </xdr:txBody>
    </xdr:sp>
    <xdr:clientData/>
  </xdr:twoCellAnchor>
  <xdr:twoCellAnchor>
    <xdr:from>
      <xdr:col>43</xdr:col>
      <xdr:colOff>0</xdr:colOff>
      <xdr:row>8</xdr:row>
      <xdr:rowOff>0</xdr:rowOff>
    </xdr:from>
    <xdr:to>
      <xdr:col>46</xdr:col>
      <xdr:colOff>0</xdr:colOff>
      <xdr:row>10</xdr:row>
      <xdr:rowOff>180974</xdr:rowOff>
    </xdr:to>
    <xdr:sp macro="" textlink="">
      <xdr:nvSpPr>
        <xdr:cNvPr id="16" name="正方形/長方形 15"/>
        <xdr:cNvSpPr/>
      </xdr:nvSpPr>
      <xdr:spPr>
        <a:xfrm>
          <a:off x="9667875" y="1085850"/>
          <a:ext cx="828675" cy="54292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8</xdr:row>
      <xdr:rowOff>0</xdr:rowOff>
    </xdr:from>
    <xdr:to>
      <xdr:col>46</xdr:col>
      <xdr:colOff>0</xdr:colOff>
      <xdr:row>10</xdr:row>
      <xdr:rowOff>180974</xdr:rowOff>
    </xdr:to>
    <xdr:sp macro="" textlink="">
      <xdr:nvSpPr>
        <xdr:cNvPr id="17" name="テキスト ボックス 16"/>
        <xdr:cNvSpPr txBox="1"/>
      </xdr:nvSpPr>
      <xdr:spPr>
        <a:xfrm>
          <a:off x="11601450" y="1447800"/>
          <a:ext cx="828675" cy="542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8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休日出勤申請</a:t>
          </a:r>
        </a:p>
      </xdr:txBody>
    </xdr:sp>
    <xdr:clientData/>
  </xdr:twoCellAnchor>
  <xdr:twoCellAnchor>
    <xdr:from>
      <xdr:col>2</xdr:col>
      <xdr:colOff>138112</xdr:colOff>
      <xdr:row>4</xdr:row>
      <xdr:rowOff>0</xdr:rowOff>
    </xdr:from>
    <xdr:to>
      <xdr:col>9</xdr:col>
      <xdr:colOff>138112</xdr:colOff>
      <xdr:row>8</xdr:row>
      <xdr:rowOff>0</xdr:rowOff>
    </xdr:to>
    <xdr:cxnSp macro="">
      <xdr:nvCxnSpPr>
        <xdr:cNvPr id="19" name="直線コネクタ 18"/>
        <xdr:cNvCxnSpPr>
          <a:stCxn id="2" idx="2"/>
          <a:endCxn id="4" idx="0"/>
        </xdr:cNvCxnSpPr>
      </xdr:nvCxnSpPr>
      <xdr:spPr>
        <a:xfrm rot="16200000" flipH="1">
          <a:off x="1295400" y="119062"/>
          <a:ext cx="723900" cy="1933575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138113</xdr:colOff>
      <xdr:row>4</xdr:row>
      <xdr:rowOff>0</xdr:rowOff>
    </xdr:from>
    <xdr:to>
      <xdr:col>16</xdr:col>
      <xdr:colOff>138113</xdr:colOff>
      <xdr:row>8</xdr:row>
      <xdr:rowOff>0</xdr:rowOff>
    </xdr:to>
    <xdr:cxnSp macro="">
      <xdr:nvCxnSpPr>
        <xdr:cNvPr id="21" name="直線コネクタ 20"/>
        <xdr:cNvCxnSpPr>
          <a:stCxn id="2" idx="2"/>
          <a:endCxn id="9" idx="0"/>
        </xdr:cNvCxnSpPr>
      </xdr:nvCxnSpPr>
      <xdr:spPr>
        <a:xfrm rot="16200000" flipH="1">
          <a:off x="2262188" y="-847725"/>
          <a:ext cx="723900" cy="3867150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138112</xdr:colOff>
      <xdr:row>4</xdr:row>
      <xdr:rowOff>0</xdr:rowOff>
    </xdr:from>
    <xdr:to>
      <xdr:col>23</xdr:col>
      <xdr:colOff>138112</xdr:colOff>
      <xdr:row>8</xdr:row>
      <xdr:rowOff>0</xdr:rowOff>
    </xdr:to>
    <xdr:cxnSp macro="">
      <xdr:nvCxnSpPr>
        <xdr:cNvPr id="24" name="直線コネクタ 20"/>
        <xdr:cNvCxnSpPr>
          <a:stCxn id="2" idx="2"/>
          <a:endCxn id="10" idx="0"/>
        </xdr:cNvCxnSpPr>
      </xdr:nvCxnSpPr>
      <xdr:spPr>
        <a:xfrm rot="16200000" flipH="1">
          <a:off x="3228975" y="-1814513"/>
          <a:ext cx="723900" cy="5800725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138113</xdr:colOff>
      <xdr:row>4</xdr:row>
      <xdr:rowOff>0</xdr:rowOff>
    </xdr:from>
    <xdr:to>
      <xdr:col>30</xdr:col>
      <xdr:colOff>138113</xdr:colOff>
      <xdr:row>8</xdr:row>
      <xdr:rowOff>0</xdr:rowOff>
    </xdr:to>
    <xdr:cxnSp macro="">
      <xdr:nvCxnSpPr>
        <xdr:cNvPr id="27" name="直線コネクタ 20"/>
        <xdr:cNvCxnSpPr>
          <a:stCxn id="2" idx="2"/>
          <a:endCxn id="12" idx="0"/>
        </xdr:cNvCxnSpPr>
      </xdr:nvCxnSpPr>
      <xdr:spPr>
        <a:xfrm rot="16200000" flipH="1">
          <a:off x="4195763" y="-2781300"/>
          <a:ext cx="723900" cy="7734300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138113</xdr:colOff>
      <xdr:row>4</xdr:row>
      <xdr:rowOff>0</xdr:rowOff>
    </xdr:from>
    <xdr:to>
      <xdr:col>44</xdr:col>
      <xdr:colOff>138113</xdr:colOff>
      <xdr:row>8</xdr:row>
      <xdr:rowOff>0</xdr:rowOff>
    </xdr:to>
    <xdr:cxnSp macro="">
      <xdr:nvCxnSpPr>
        <xdr:cNvPr id="30" name="直線コネクタ 20"/>
        <xdr:cNvCxnSpPr>
          <a:stCxn id="2" idx="2"/>
          <a:endCxn id="17" idx="0"/>
        </xdr:cNvCxnSpPr>
      </xdr:nvCxnSpPr>
      <xdr:spPr>
        <a:xfrm rot="16200000" flipH="1">
          <a:off x="6129338" y="-4714875"/>
          <a:ext cx="723900" cy="11601450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138112</xdr:colOff>
      <xdr:row>4</xdr:row>
      <xdr:rowOff>0</xdr:rowOff>
    </xdr:from>
    <xdr:to>
      <xdr:col>37</xdr:col>
      <xdr:colOff>138112</xdr:colOff>
      <xdr:row>8</xdr:row>
      <xdr:rowOff>0</xdr:rowOff>
    </xdr:to>
    <xdr:cxnSp macro="">
      <xdr:nvCxnSpPr>
        <xdr:cNvPr id="35" name="直線コネクタ 20"/>
        <xdr:cNvCxnSpPr>
          <a:stCxn id="2" idx="2"/>
          <a:endCxn id="15" idx="0"/>
        </xdr:cNvCxnSpPr>
      </xdr:nvCxnSpPr>
      <xdr:spPr>
        <a:xfrm rot="16200000" flipH="1">
          <a:off x="5162550" y="-3748088"/>
          <a:ext cx="723900" cy="9667875"/>
        </a:xfrm>
        <a:prstGeom prst="bentConnector3">
          <a:avLst>
            <a:gd name="adj1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11</xdr:row>
      <xdr:rowOff>152399</xdr:rowOff>
    </xdr:from>
    <xdr:to>
      <xdr:col>24</xdr:col>
      <xdr:colOff>0</xdr:colOff>
      <xdr:row>25</xdr:row>
      <xdr:rowOff>0</xdr:rowOff>
    </xdr:to>
    <xdr:sp macro="" textlink="">
      <xdr:nvSpPr>
        <xdr:cNvPr id="38" name="下矢印 37"/>
        <xdr:cNvSpPr/>
      </xdr:nvSpPr>
      <xdr:spPr>
        <a:xfrm>
          <a:off x="6353175" y="2143124"/>
          <a:ext cx="276225" cy="238125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11</xdr:row>
      <xdr:rowOff>142876</xdr:rowOff>
    </xdr:from>
    <xdr:to>
      <xdr:col>31</xdr:col>
      <xdr:colOff>0</xdr:colOff>
      <xdr:row>16</xdr:row>
      <xdr:rowOff>1</xdr:rowOff>
    </xdr:to>
    <xdr:sp macro="" textlink="">
      <xdr:nvSpPr>
        <xdr:cNvPr id="39" name="下矢印 38"/>
        <xdr:cNvSpPr/>
      </xdr:nvSpPr>
      <xdr:spPr>
        <a:xfrm>
          <a:off x="8286750" y="2133601"/>
          <a:ext cx="276225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138113</xdr:colOff>
      <xdr:row>4</xdr:row>
      <xdr:rowOff>0</xdr:rowOff>
    </xdr:from>
    <xdr:to>
      <xdr:col>2</xdr:col>
      <xdr:colOff>138113</xdr:colOff>
      <xdr:row>8</xdr:row>
      <xdr:rowOff>0</xdr:rowOff>
    </xdr:to>
    <xdr:cxnSp macro="">
      <xdr:nvCxnSpPr>
        <xdr:cNvPr id="40" name="直線コネクタ 20"/>
        <xdr:cNvCxnSpPr>
          <a:stCxn id="2" idx="2"/>
          <a:endCxn id="6" idx="0"/>
        </xdr:cNvCxnSpPr>
      </xdr:nvCxnSpPr>
      <xdr:spPr>
        <a:xfrm>
          <a:off x="690563" y="723900"/>
          <a:ext cx="0" cy="723900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11</xdr:row>
      <xdr:rowOff>152401</xdr:rowOff>
    </xdr:from>
    <xdr:to>
      <xdr:col>3</xdr:col>
      <xdr:colOff>28575</xdr:colOff>
      <xdr:row>25</xdr:row>
      <xdr:rowOff>1</xdr:rowOff>
    </xdr:to>
    <xdr:sp macro="" textlink="">
      <xdr:nvSpPr>
        <xdr:cNvPr id="53" name="下矢印 52"/>
        <xdr:cNvSpPr/>
      </xdr:nvSpPr>
      <xdr:spPr>
        <a:xfrm>
          <a:off x="581025" y="2143126"/>
          <a:ext cx="276225" cy="23812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232833</xdr:colOff>
      <xdr:row>11</xdr:row>
      <xdr:rowOff>42334</xdr:rowOff>
    </xdr:from>
    <xdr:to>
      <xdr:col>10</xdr:col>
      <xdr:colOff>232833</xdr:colOff>
      <xdr:row>15</xdr:row>
      <xdr:rowOff>0</xdr:rowOff>
    </xdr:to>
    <xdr:sp macro="" textlink="">
      <xdr:nvSpPr>
        <xdr:cNvPr id="28" name="下矢印 27"/>
        <xdr:cNvSpPr/>
      </xdr:nvSpPr>
      <xdr:spPr>
        <a:xfrm>
          <a:off x="2709333" y="2021417"/>
          <a:ext cx="275167" cy="6773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0"/>
  <sheetViews>
    <sheetView tabSelected="1" zoomScale="90" zoomScaleNormal="90" workbookViewId="0">
      <selection activeCell="B21" sqref="B21:C21"/>
    </sheetView>
  </sheetViews>
  <sheetFormatPr defaultRowHeight="12"/>
  <cols>
    <col min="1" max="1" width="3.875" style="1" customWidth="1"/>
    <col min="2" max="2" width="10.625" style="1" customWidth="1"/>
    <col min="3" max="3" width="17" style="1" customWidth="1"/>
    <col min="4" max="4" width="10.625" style="1" customWidth="1"/>
    <col min="5" max="5" width="18.625" style="1" customWidth="1"/>
    <col min="6" max="7" width="12.75" style="1" customWidth="1"/>
    <col min="8" max="8" width="22.75" style="1" customWidth="1"/>
    <col min="9" max="10" width="33.5" style="1" customWidth="1"/>
    <col min="11" max="11" width="3.5" style="1" customWidth="1"/>
    <col min="12" max="16384" width="9" style="1"/>
  </cols>
  <sheetData>
    <row r="1" spans="1:12" ht="14.25">
      <c r="A1" s="50" t="s">
        <v>0</v>
      </c>
      <c r="B1" s="51"/>
      <c r="C1" s="48"/>
      <c r="D1" s="52"/>
      <c r="E1" s="2" t="s">
        <v>10</v>
      </c>
      <c r="F1" s="48"/>
      <c r="G1" s="49"/>
      <c r="H1" s="49"/>
      <c r="I1" s="2" t="s">
        <v>13</v>
      </c>
      <c r="J1" s="6">
        <f>COUNTA(B6:C126)</f>
        <v>15</v>
      </c>
    </row>
    <row r="2" spans="1:12" ht="14.25">
      <c r="A2" s="50" t="s">
        <v>11</v>
      </c>
      <c r="B2" s="51"/>
      <c r="C2" s="48"/>
      <c r="D2" s="52"/>
      <c r="E2" s="2" t="s">
        <v>12</v>
      </c>
      <c r="F2" s="48"/>
      <c r="G2" s="49"/>
      <c r="H2" s="49"/>
      <c r="I2" s="2" t="s">
        <v>41</v>
      </c>
      <c r="J2" s="10"/>
    </row>
    <row r="4" spans="1:12" ht="13.5">
      <c r="A4" s="53" t="s">
        <v>1</v>
      </c>
      <c r="B4" s="53" t="s">
        <v>2</v>
      </c>
      <c r="C4" s="47"/>
      <c r="D4" s="47"/>
      <c r="E4" s="47"/>
      <c r="F4" s="53" t="s">
        <v>5</v>
      </c>
      <c r="G4" s="53" t="s">
        <v>6</v>
      </c>
      <c r="H4" s="53" t="s">
        <v>7</v>
      </c>
      <c r="I4" s="53" t="s">
        <v>9</v>
      </c>
      <c r="J4" s="53" t="s">
        <v>8</v>
      </c>
      <c r="L4" s="46" t="s">
        <v>15</v>
      </c>
    </row>
    <row r="5" spans="1:12" ht="13.5">
      <c r="A5" s="47"/>
      <c r="B5" s="53" t="s">
        <v>3</v>
      </c>
      <c r="C5" s="47"/>
      <c r="D5" s="53" t="s">
        <v>4</v>
      </c>
      <c r="E5" s="47"/>
      <c r="F5" s="47"/>
      <c r="G5" s="47"/>
      <c r="H5" s="47"/>
      <c r="I5" s="47"/>
      <c r="J5" s="47"/>
      <c r="L5" s="47"/>
    </row>
    <row r="6" spans="1:12" ht="13.5">
      <c r="A6" s="3">
        <v>1</v>
      </c>
      <c r="B6" s="44" t="s">
        <v>16</v>
      </c>
      <c r="C6" s="45"/>
      <c r="D6" s="42" t="s">
        <v>90</v>
      </c>
      <c r="E6" s="43"/>
      <c r="F6" s="4">
        <v>43200</v>
      </c>
      <c r="G6" s="3" t="s">
        <v>23</v>
      </c>
      <c r="H6" s="7" t="str">
        <f>"テーブル定義‗" &amp; B6 &amp; ".xlsx"</f>
        <v>テーブル定義‗勤務時間.xlsx</v>
      </c>
      <c r="I6" s="5"/>
      <c r="J6" s="5"/>
      <c r="L6" s="3" t="s">
        <v>40</v>
      </c>
    </row>
    <row r="7" spans="1:12" ht="13.5">
      <c r="A7" s="3">
        <v>2</v>
      </c>
      <c r="B7" s="44" t="s">
        <v>17</v>
      </c>
      <c r="C7" s="45"/>
      <c r="D7" s="42" t="s">
        <v>91</v>
      </c>
      <c r="E7" s="43"/>
      <c r="F7" s="4">
        <v>43200</v>
      </c>
      <c r="G7" s="3" t="s">
        <v>23</v>
      </c>
      <c r="H7" s="7" t="str">
        <f t="shared" ref="H7:H14" si="0">"テーブル定義‗" &amp; B7 &amp; ".xlsx"</f>
        <v>テーブル定義‗勤務時間設定.xlsx</v>
      </c>
      <c r="I7" s="5"/>
      <c r="J7" s="5"/>
      <c r="L7" s="3"/>
    </row>
    <row r="8" spans="1:12" ht="13.5">
      <c r="A8" s="3">
        <v>3</v>
      </c>
      <c r="B8" s="44" t="s">
        <v>14</v>
      </c>
      <c r="C8" s="45"/>
      <c r="D8" s="42" t="s">
        <v>92</v>
      </c>
      <c r="E8" s="43"/>
      <c r="F8" s="4">
        <v>43200</v>
      </c>
      <c r="G8" s="3" t="s">
        <v>23</v>
      </c>
      <c r="H8" s="7" t="str">
        <f t="shared" si="0"/>
        <v>テーブル定義‗社員マスタ.xlsx</v>
      </c>
      <c r="I8" s="5"/>
      <c r="J8" s="5"/>
      <c r="L8" s="3" t="s">
        <v>40</v>
      </c>
    </row>
    <row r="9" spans="1:12" ht="13.5">
      <c r="A9" s="3">
        <v>4</v>
      </c>
      <c r="B9" s="44" t="s">
        <v>18</v>
      </c>
      <c r="C9" s="45"/>
      <c r="D9" s="42" t="s">
        <v>93</v>
      </c>
      <c r="E9" s="43"/>
      <c r="F9" s="4">
        <v>43200</v>
      </c>
      <c r="G9" s="3" t="s">
        <v>23</v>
      </c>
      <c r="H9" s="7" t="str">
        <f t="shared" si="0"/>
        <v>テーブル定義‗祝日管理.xlsx</v>
      </c>
      <c r="I9" s="5"/>
      <c r="J9" s="5"/>
      <c r="L9" s="3"/>
    </row>
    <row r="10" spans="1:12" ht="13.5">
      <c r="A10" s="3">
        <v>5</v>
      </c>
      <c r="B10" s="44" t="s">
        <v>19</v>
      </c>
      <c r="C10" s="45"/>
      <c r="D10" s="42" t="s">
        <v>94</v>
      </c>
      <c r="E10" s="43"/>
      <c r="F10" s="4">
        <v>43200</v>
      </c>
      <c r="G10" s="3" t="s">
        <v>23</v>
      </c>
      <c r="H10" s="7" t="str">
        <f t="shared" si="0"/>
        <v>テーブル定義‗申請.xlsx</v>
      </c>
      <c r="I10" s="7" t="s">
        <v>33</v>
      </c>
      <c r="J10" s="7"/>
      <c r="L10" s="3"/>
    </row>
    <row r="11" spans="1:12" ht="13.5">
      <c r="A11" s="3">
        <v>6</v>
      </c>
      <c r="B11" s="44" t="s">
        <v>20</v>
      </c>
      <c r="C11" s="45"/>
      <c r="D11" s="42" t="s">
        <v>95</v>
      </c>
      <c r="E11" s="43"/>
      <c r="F11" s="4">
        <v>43200</v>
      </c>
      <c r="G11" s="3" t="s">
        <v>23</v>
      </c>
      <c r="H11" s="7" t="str">
        <f t="shared" si="0"/>
        <v>テーブル定義‗申請マスタ.xlsx</v>
      </c>
      <c r="I11" s="7" t="s">
        <v>25</v>
      </c>
      <c r="J11" s="7" t="s">
        <v>24</v>
      </c>
      <c r="L11" s="3"/>
    </row>
    <row r="12" spans="1:12" ht="13.5">
      <c r="A12" s="3">
        <v>7</v>
      </c>
      <c r="B12" s="44" t="s">
        <v>21</v>
      </c>
      <c r="C12" s="45"/>
      <c r="D12" s="42" t="s">
        <v>96</v>
      </c>
      <c r="E12" s="43"/>
      <c r="F12" s="4">
        <v>43200</v>
      </c>
      <c r="G12" s="3" t="s">
        <v>23</v>
      </c>
      <c r="H12" s="7" t="str">
        <f t="shared" si="0"/>
        <v>テーブル定義‗締め管理.xlsx</v>
      </c>
      <c r="I12" s="7"/>
      <c r="J12" s="7"/>
      <c r="L12" s="3"/>
    </row>
    <row r="13" spans="1:12" ht="13.5">
      <c r="A13" s="3">
        <v>8</v>
      </c>
      <c r="B13" s="44" t="s">
        <v>22</v>
      </c>
      <c r="C13" s="45"/>
      <c r="D13" s="42" t="s">
        <v>97</v>
      </c>
      <c r="E13" s="43"/>
      <c r="F13" s="4">
        <v>43200</v>
      </c>
      <c r="G13" s="3" t="s">
        <v>23</v>
      </c>
      <c r="H13" s="7" t="str">
        <f t="shared" si="0"/>
        <v>テーブル定義‗有給管理.xlsx</v>
      </c>
      <c r="I13" s="7"/>
      <c r="J13" s="7"/>
      <c r="L13" s="3"/>
    </row>
    <row r="14" spans="1:12" ht="13.5">
      <c r="A14" s="3">
        <v>9</v>
      </c>
      <c r="B14" s="44" t="s">
        <v>26</v>
      </c>
      <c r="C14" s="45"/>
      <c r="D14" s="42" t="s">
        <v>98</v>
      </c>
      <c r="E14" s="43"/>
      <c r="F14" s="4">
        <v>43227</v>
      </c>
      <c r="G14" s="3" t="s">
        <v>27</v>
      </c>
      <c r="H14" s="8" t="str">
        <f t="shared" si="0"/>
        <v>テーブル定義‗申請詳細.xlsx</v>
      </c>
      <c r="I14" s="8" t="s">
        <v>34</v>
      </c>
      <c r="J14" s="8"/>
      <c r="L14" s="3"/>
    </row>
    <row r="15" spans="1:12" ht="13.5">
      <c r="A15" s="3">
        <v>10</v>
      </c>
      <c r="B15" s="42" t="s">
        <v>31</v>
      </c>
      <c r="C15" s="43"/>
      <c r="D15" s="42" t="s">
        <v>99</v>
      </c>
      <c r="E15" s="43"/>
      <c r="F15" s="4">
        <v>43227</v>
      </c>
      <c r="G15" s="3" t="s">
        <v>27</v>
      </c>
      <c r="H15" s="8" t="str">
        <f t="shared" ref="H15:H17" si="1">"テーブル定義‗" &amp; B15 &amp; ".xlsx"</f>
        <v>テーブル定義‗休暇取得申請.xlsx</v>
      </c>
      <c r="I15" s="8" t="s">
        <v>35</v>
      </c>
      <c r="J15" s="7"/>
      <c r="L15" s="3"/>
    </row>
    <row r="16" spans="1:12" ht="13.5">
      <c r="A16" s="3">
        <v>11</v>
      </c>
      <c r="B16" s="42" t="s">
        <v>29</v>
      </c>
      <c r="C16" s="43"/>
      <c r="D16" s="42" t="s">
        <v>100</v>
      </c>
      <c r="E16" s="43"/>
      <c r="F16" s="4">
        <v>43227</v>
      </c>
      <c r="G16" s="3" t="s">
        <v>27</v>
      </c>
      <c r="H16" s="8" t="str">
        <f t="shared" si="1"/>
        <v>テーブル定義‗通勤手当申請.xlsx</v>
      </c>
      <c r="I16" s="8" t="s">
        <v>36</v>
      </c>
      <c r="J16" s="7"/>
      <c r="L16" s="3"/>
    </row>
    <row r="17" spans="1:12" ht="13.5">
      <c r="A17" s="3">
        <v>12</v>
      </c>
      <c r="B17" s="42" t="s">
        <v>28</v>
      </c>
      <c r="C17" s="43"/>
      <c r="D17" s="42" t="s">
        <v>101</v>
      </c>
      <c r="E17" s="43"/>
      <c r="F17" s="4">
        <v>43227</v>
      </c>
      <c r="G17" s="3" t="s">
        <v>27</v>
      </c>
      <c r="H17" s="8" t="str">
        <f t="shared" si="1"/>
        <v>テーブル定義‗経費申請.xlsx</v>
      </c>
      <c r="I17" s="8" t="s">
        <v>37</v>
      </c>
      <c r="J17" s="7"/>
      <c r="L17" s="3"/>
    </row>
    <row r="18" spans="1:12" ht="13.5">
      <c r="A18" s="3">
        <v>13</v>
      </c>
      <c r="B18" s="42" t="s">
        <v>32</v>
      </c>
      <c r="C18" s="43"/>
      <c r="D18" s="42" t="s">
        <v>102</v>
      </c>
      <c r="E18" s="43"/>
      <c r="F18" s="4">
        <v>43227</v>
      </c>
      <c r="G18" s="3" t="s">
        <v>27</v>
      </c>
      <c r="H18" s="8" t="str">
        <f t="shared" ref="H18:H50" si="2">"テーブル定義‗" &amp; B18 &amp; ".xlsx"</f>
        <v>テーブル定義‗書籍購入支援申請.xlsx</v>
      </c>
      <c r="I18" s="8" t="s">
        <v>38</v>
      </c>
      <c r="J18" s="7"/>
      <c r="L18" s="3"/>
    </row>
    <row r="19" spans="1:12" ht="13.5">
      <c r="A19" s="3">
        <v>14</v>
      </c>
      <c r="B19" s="42" t="s">
        <v>30</v>
      </c>
      <c r="C19" s="43"/>
      <c r="D19" s="42" t="s">
        <v>103</v>
      </c>
      <c r="E19" s="43"/>
      <c r="F19" s="4">
        <v>43227</v>
      </c>
      <c r="G19" s="3" t="s">
        <v>27</v>
      </c>
      <c r="H19" s="8" t="str">
        <f t="shared" si="2"/>
        <v>テーブル定義‗休日出勤申請.xlsx</v>
      </c>
      <c r="I19" s="8" t="s">
        <v>39</v>
      </c>
      <c r="J19" s="7"/>
      <c r="L19" s="3"/>
    </row>
    <row r="20" spans="1:12" ht="13.5">
      <c r="A20" s="3">
        <v>15</v>
      </c>
      <c r="B20" s="42" t="s">
        <v>104</v>
      </c>
      <c r="C20" s="43"/>
      <c r="D20" s="42" t="s">
        <v>105</v>
      </c>
      <c r="E20" s="43"/>
      <c r="F20" s="4">
        <v>43238</v>
      </c>
      <c r="G20" s="3" t="s">
        <v>27</v>
      </c>
      <c r="H20" s="7" t="str">
        <f t="shared" si="2"/>
        <v>テーブル定義‗組織マスタ.xlsx</v>
      </c>
      <c r="I20" s="7" t="s">
        <v>106</v>
      </c>
      <c r="J20" s="7"/>
      <c r="L20" s="3"/>
    </row>
    <row r="21" spans="1:12" ht="13.5">
      <c r="A21" s="3">
        <v>16</v>
      </c>
      <c r="B21" s="42"/>
      <c r="C21" s="43"/>
      <c r="D21" s="42"/>
      <c r="E21" s="43"/>
      <c r="F21" s="4"/>
      <c r="G21" s="3"/>
      <c r="H21" s="7" t="str">
        <f t="shared" si="2"/>
        <v>テーブル定義‗.xlsx</v>
      </c>
      <c r="I21" s="7"/>
      <c r="J21" s="7"/>
      <c r="L21" s="3"/>
    </row>
    <row r="22" spans="1:12" ht="13.5">
      <c r="A22" s="3">
        <v>17</v>
      </c>
      <c r="B22" s="42"/>
      <c r="C22" s="43"/>
      <c r="D22" s="42"/>
      <c r="E22" s="43"/>
      <c r="F22" s="4"/>
      <c r="G22" s="3"/>
      <c r="H22" s="7" t="str">
        <f t="shared" si="2"/>
        <v>テーブル定義‗.xlsx</v>
      </c>
      <c r="I22" s="7"/>
      <c r="J22" s="7"/>
      <c r="L22" s="3"/>
    </row>
    <row r="23" spans="1:12" ht="13.5">
      <c r="A23" s="3">
        <v>18</v>
      </c>
      <c r="B23" s="42"/>
      <c r="C23" s="43"/>
      <c r="D23" s="42"/>
      <c r="E23" s="43"/>
      <c r="F23" s="4"/>
      <c r="G23" s="3"/>
      <c r="H23" s="7" t="str">
        <f t="shared" si="2"/>
        <v>テーブル定義‗.xlsx</v>
      </c>
      <c r="I23" s="7"/>
      <c r="J23" s="7"/>
      <c r="L23" s="3"/>
    </row>
    <row r="24" spans="1:12" ht="13.5">
      <c r="A24" s="3">
        <v>19</v>
      </c>
      <c r="B24" s="42"/>
      <c r="C24" s="43"/>
      <c r="D24" s="42"/>
      <c r="E24" s="43"/>
      <c r="F24" s="4"/>
      <c r="G24" s="3"/>
      <c r="H24" s="11" t="str">
        <f t="shared" si="2"/>
        <v>テーブル定義‗.xlsx</v>
      </c>
      <c r="I24" s="11"/>
      <c r="J24" s="11"/>
      <c r="L24" s="3"/>
    </row>
    <row r="25" spans="1:12" ht="13.5">
      <c r="A25" s="3">
        <v>20</v>
      </c>
      <c r="B25" s="42"/>
      <c r="C25" s="43"/>
      <c r="D25" s="42"/>
      <c r="E25" s="43"/>
      <c r="F25" s="4"/>
      <c r="G25" s="3"/>
      <c r="H25" s="11" t="str">
        <f t="shared" si="2"/>
        <v>テーブル定義‗.xlsx</v>
      </c>
      <c r="I25" s="11"/>
      <c r="J25" s="11"/>
      <c r="L25" s="3"/>
    </row>
    <row r="26" spans="1:12" ht="13.5">
      <c r="A26" s="3">
        <v>21</v>
      </c>
      <c r="B26" s="42"/>
      <c r="C26" s="43"/>
      <c r="D26" s="42"/>
      <c r="E26" s="43"/>
      <c r="F26" s="4"/>
      <c r="G26" s="3"/>
      <c r="H26" s="11" t="str">
        <f t="shared" si="2"/>
        <v>テーブル定義‗.xlsx</v>
      </c>
      <c r="I26" s="11"/>
      <c r="J26" s="11"/>
      <c r="L26" s="3"/>
    </row>
    <row r="27" spans="1:12" ht="13.5">
      <c r="A27" s="3">
        <v>22</v>
      </c>
      <c r="B27" s="42"/>
      <c r="C27" s="43"/>
      <c r="D27" s="42"/>
      <c r="E27" s="43"/>
      <c r="F27" s="4"/>
      <c r="G27" s="3"/>
      <c r="H27" s="11" t="str">
        <f t="shared" si="2"/>
        <v>テーブル定義‗.xlsx</v>
      </c>
      <c r="I27" s="11"/>
      <c r="J27" s="11"/>
      <c r="L27" s="3"/>
    </row>
    <row r="28" spans="1:12" ht="13.5">
      <c r="A28" s="3">
        <v>23</v>
      </c>
      <c r="B28" s="42"/>
      <c r="C28" s="43"/>
      <c r="D28" s="42"/>
      <c r="E28" s="43"/>
      <c r="F28" s="4"/>
      <c r="G28" s="3"/>
      <c r="H28" s="11" t="str">
        <f t="shared" si="2"/>
        <v>テーブル定義‗.xlsx</v>
      </c>
      <c r="I28" s="11"/>
      <c r="J28" s="11"/>
      <c r="L28" s="3"/>
    </row>
    <row r="29" spans="1:12" ht="13.5">
      <c r="A29" s="3">
        <v>24</v>
      </c>
      <c r="B29" s="42"/>
      <c r="C29" s="43"/>
      <c r="D29" s="42"/>
      <c r="E29" s="43"/>
      <c r="F29" s="4"/>
      <c r="G29" s="3"/>
      <c r="H29" s="11" t="str">
        <f t="shared" si="2"/>
        <v>テーブル定義‗.xlsx</v>
      </c>
      <c r="I29" s="11"/>
      <c r="J29" s="11"/>
      <c r="L29" s="3"/>
    </row>
    <row r="30" spans="1:12" ht="13.5">
      <c r="A30" s="3">
        <v>25</v>
      </c>
      <c r="B30" s="42"/>
      <c r="C30" s="43"/>
      <c r="D30" s="42"/>
      <c r="E30" s="43"/>
      <c r="F30" s="4"/>
      <c r="G30" s="3"/>
      <c r="H30" s="11" t="str">
        <f t="shared" si="2"/>
        <v>テーブル定義‗.xlsx</v>
      </c>
      <c r="I30" s="11"/>
      <c r="J30" s="11"/>
      <c r="L30" s="3"/>
    </row>
    <row r="31" spans="1:12" ht="13.5">
      <c r="A31" s="3">
        <v>26</v>
      </c>
      <c r="B31" s="42"/>
      <c r="C31" s="43"/>
      <c r="D31" s="42"/>
      <c r="E31" s="43"/>
      <c r="F31" s="4"/>
      <c r="G31" s="3"/>
      <c r="H31" s="11" t="str">
        <f t="shared" si="2"/>
        <v>テーブル定義‗.xlsx</v>
      </c>
      <c r="I31" s="11"/>
      <c r="J31" s="11"/>
      <c r="L31" s="3"/>
    </row>
    <row r="32" spans="1:12" ht="13.5">
      <c r="A32" s="3">
        <v>27</v>
      </c>
      <c r="B32" s="42"/>
      <c r="C32" s="43"/>
      <c r="D32" s="42"/>
      <c r="E32" s="43"/>
      <c r="F32" s="4"/>
      <c r="G32" s="3"/>
      <c r="H32" s="11" t="str">
        <f t="shared" si="2"/>
        <v>テーブル定義‗.xlsx</v>
      </c>
      <c r="I32" s="11"/>
      <c r="J32" s="11"/>
      <c r="L32" s="3"/>
    </row>
    <row r="33" spans="1:12" ht="13.5">
      <c r="A33" s="3">
        <v>28</v>
      </c>
      <c r="B33" s="42"/>
      <c r="C33" s="43"/>
      <c r="D33" s="42"/>
      <c r="E33" s="43"/>
      <c r="F33" s="4"/>
      <c r="G33" s="3"/>
      <c r="H33" s="11" t="str">
        <f t="shared" si="2"/>
        <v>テーブル定義‗.xlsx</v>
      </c>
      <c r="I33" s="11"/>
      <c r="J33" s="11"/>
      <c r="L33" s="3"/>
    </row>
    <row r="34" spans="1:12" ht="13.5">
      <c r="A34" s="3">
        <v>29</v>
      </c>
      <c r="B34" s="42"/>
      <c r="C34" s="43"/>
      <c r="D34" s="42"/>
      <c r="E34" s="43"/>
      <c r="F34" s="4"/>
      <c r="G34" s="3"/>
      <c r="H34" s="7" t="str">
        <f t="shared" si="2"/>
        <v>テーブル定義‗.xlsx</v>
      </c>
      <c r="I34" s="7"/>
      <c r="J34" s="7"/>
      <c r="L34" s="3"/>
    </row>
    <row r="35" spans="1:12" ht="13.5">
      <c r="A35" s="3">
        <v>30</v>
      </c>
      <c r="B35" s="42"/>
      <c r="C35" s="43"/>
      <c r="D35" s="42"/>
      <c r="E35" s="43"/>
      <c r="F35" s="4"/>
      <c r="G35" s="3"/>
      <c r="H35" s="11" t="str">
        <f t="shared" si="2"/>
        <v>テーブル定義‗.xlsx</v>
      </c>
      <c r="I35" s="11"/>
      <c r="J35" s="11"/>
      <c r="L35" s="3"/>
    </row>
    <row r="36" spans="1:12" ht="13.5">
      <c r="A36" s="3">
        <v>31</v>
      </c>
      <c r="B36" s="42"/>
      <c r="C36" s="43"/>
      <c r="D36" s="42"/>
      <c r="E36" s="43"/>
      <c r="F36" s="4"/>
      <c r="G36" s="3"/>
      <c r="H36" s="11" t="str">
        <f t="shared" si="2"/>
        <v>テーブル定義‗.xlsx</v>
      </c>
      <c r="I36" s="11"/>
      <c r="J36" s="11"/>
      <c r="L36" s="3"/>
    </row>
    <row r="37" spans="1:12" ht="13.5">
      <c r="A37" s="3">
        <v>32</v>
      </c>
      <c r="B37" s="42"/>
      <c r="C37" s="43"/>
      <c r="D37" s="42"/>
      <c r="E37" s="43"/>
      <c r="F37" s="4"/>
      <c r="G37" s="3"/>
      <c r="H37" s="11" t="str">
        <f t="shared" si="2"/>
        <v>テーブル定義‗.xlsx</v>
      </c>
      <c r="I37" s="11"/>
      <c r="J37" s="11"/>
      <c r="L37" s="3"/>
    </row>
    <row r="38" spans="1:12" ht="13.5">
      <c r="A38" s="3">
        <v>33</v>
      </c>
      <c r="B38" s="42"/>
      <c r="C38" s="43"/>
      <c r="D38" s="42"/>
      <c r="E38" s="43"/>
      <c r="F38" s="4"/>
      <c r="G38" s="3"/>
      <c r="H38" s="11" t="str">
        <f t="shared" si="2"/>
        <v>テーブル定義‗.xlsx</v>
      </c>
      <c r="I38" s="11"/>
      <c r="J38" s="11"/>
      <c r="L38" s="3"/>
    </row>
    <row r="39" spans="1:12" ht="13.5">
      <c r="A39" s="3">
        <v>34</v>
      </c>
      <c r="B39" s="42"/>
      <c r="C39" s="43"/>
      <c r="D39" s="42"/>
      <c r="E39" s="43"/>
      <c r="F39" s="4"/>
      <c r="G39" s="3"/>
      <c r="H39" s="11" t="str">
        <f t="shared" si="2"/>
        <v>テーブル定義‗.xlsx</v>
      </c>
      <c r="I39" s="11"/>
      <c r="J39" s="11"/>
      <c r="L39" s="3"/>
    </row>
    <row r="40" spans="1:12" ht="13.5">
      <c r="A40" s="3">
        <v>35</v>
      </c>
      <c r="B40" s="42"/>
      <c r="C40" s="43"/>
      <c r="D40" s="42"/>
      <c r="E40" s="43"/>
      <c r="F40" s="4"/>
      <c r="G40" s="3"/>
      <c r="H40" s="11" t="str">
        <f t="shared" si="2"/>
        <v>テーブル定義‗.xlsx</v>
      </c>
      <c r="I40" s="11"/>
      <c r="J40" s="11"/>
      <c r="L40" s="3"/>
    </row>
    <row r="41" spans="1:12" ht="13.5">
      <c r="A41" s="3">
        <v>36</v>
      </c>
      <c r="B41" s="42"/>
      <c r="C41" s="43"/>
      <c r="D41" s="42"/>
      <c r="E41" s="43"/>
      <c r="F41" s="4"/>
      <c r="G41" s="3"/>
      <c r="H41" s="11" t="str">
        <f t="shared" si="2"/>
        <v>テーブル定義‗.xlsx</v>
      </c>
      <c r="I41" s="11"/>
      <c r="J41" s="11"/>
      <c r="L41" s="3"/>
    </row>
    <row r="42" spans="1:12" ht="13.5">
      <c r="A42" s="3">
        <v>37</v>
      </c>
      <c r="B42" s="42"/>
      <c r="C42" s="43"/>
      <c r="D42" s="42"/>
      <c r="E42" s="43"/>
      <c r="F42" s="4"/>
      <c r="G42" s="3"/>
      <c r="H42" s="11" t="str">
        <f t="shared" si="2"/>
        <v>テーブル定義‗.xlsx</v>
      </c>
      <c r="I42" s="11"/>
      <c r="J42" s="11"/>
      <c r="L42" s="3"/>
    </row>
    <row r="43" spans="1:12" ht="13.5">
      <c r="A43" s="3">
        <v>38</v>
      </c>
      <c r="B43" s="42"/>
      <c r="C43" s="43"/>
      <c r="D43" s="42"/>
      <c r="E43" s="43"/>
      <c r="F43" s="4"/>
      <c r="G43" s="3"/>
      <c r="H43" s="11" t="str">
        <f t="shared" si="2"/>
        <v>テーブル定義‗.xlsx</v>
      </c>
      <c r="I43" s="11"/>
      <c r="J43" s="11"/>
      <c r="L43" s="3"/>
    </row>
    <row r="44" spans="1:12" ht="13.5">
      <c r="A44" s="3">
        <v>39</v>
      </c>
      <c r="B44" s="42"/>
      <c r="C44" s="43"/>
      <c r="D44" s="42"/>
      <c r="E44" s="43"/>
      <c r="F44" s="4"/>
      <c r="G44" s="3"/>
      <c r="H44" s="11" t="str">
        <f t="shared" si="2"/>
        <v>テーブル定義‗.xlsx</v>
      </c>
      <c r="I44" s="11"/>
      <c r="J44" s="11"/>
      <c r="L44" s="3"/>
    </row>
    <row r="45" spans="1:12" ht="13.5">
      <c r="A45" s="3">
        <v>40</v>
      </c>
      <c r="B45" s="42"/>
      <c r="C45" s="43"/>
      <c r="D45" s="42"/>
      <c r="E45" s="43"/>
      <c r="F45" s="4"/>
      <c r="G45" s="3"/>
      <c r="H45" s="11" t="str">
        <f t="shared" si="2"/>
        <v>テーブル定義‗.xlsx</v>
      </c>
      <c r="I45" s="11"/>
      <c r="J45" s="11"/>
      <c r="L45" s="3"/>
    </row>
    <row r="46" spans="1:12" ht="13.5">
      <c r="A46" s="3">
        <v>41</v>
      </c>
      <c r="B46" s="42"/>
      <c r="C46" s="43"/>
      <c r="D46" s="42"/>
      <c r="E46" s="43"/>
      <c r="F46" s="4"/>
      <c r="G46" s="3"/>
      <c r="H46" s="11" t="str">
        <f t="shared" si="2"/>
        <v>テーブル定義‗.xlsx</v>
      </c>
      <c r="I46" s="11"/>
      <c r="J46" s="11"/>
      <c r="L46" s="3"/>
    </row>
    <row r="47" spans="1:12" ht="13.5">
      <c r="A47" s="3">
        <v>42</v>
      </c>
      <c r="B47" s="42"/>
      <c r="C47" s="43"/>
      <c r="D47" s="42"/>
      <c r="E47" s="43"/>
      <c r="F47" s="4"/>
      <c r="G47" s="3"/>
      <c r="H47" s="11" t="str">
        <f t="shared" si="2"/>
        <v>テーブル定義‗.xlsx</v>
      </c>
      <c r="I47" s="11"/>
      <c r="J47" s="11"/>
      <c r="L47" s="3"/>
    </row>
    <row r="48" spans="1:12" ht="13.5">
      <c r="A48" s="3">
        <v>43</v>
      </c>
      <c r="B48" s="42"/>
      <c r="C48" s="43"/>
      <c r="D48" s="42"/>
      <c r="E48" s="43"/>
      <c r="F48" s="4"/>
      <c r="G48" s="3"/>
      <c r="H48" s="11" t="str">
        <f t="shared" si="2"/>
        <v>テーブル定義‗.xlsx</v>
      </c>
      <c r="I48" s="11"/>
      <c r="J48" s="11"/>
      <c r="L48" s="3"/>
    </row>
    <row r="49" spans="1:12" ht="13.5">
      <c r="A49" s="3">
        <v>44</v>
      </c>
      <c r="B49" s="42"/>
      <c r="C49" s="43"/>
      <c r="D49" s="42"/>
      <c r="E49" s="43"/>
      <c r="F49" s="4"/>
      <c r="G49" s="3"/>
      <c r="H49" s="11" t="str">
        <f t="shared" si="2"/>
        <v>テーブル定義‗.xlsx</v>
      </c>
      <c r="I49" s="11"/>
      <c r="J49" s="11"/>
      <c r="L49" s="3"/>
    </row>
    <row r="50" spans="1:12" ht="13.5">
      <c r="A50" s="3">
        <v>45</v>
      </c>
      <c r="B50" s="42"/>
      <c r="C50" s="43"/>
      <c r="D50" s="42"/>
      <c r="E50" s="43"/>
      <c r="F50" s="4"/>
      <c r="G50" s="3"/>
      <c r="H50" s="11" t="str">
        <f t="shared" si="2"/>
        <v>テーブル定義‗.xlsx</v>
      </c>
      <c r="I50" s="11"/>
      <c r="J50" s="11"/>
      <c r="L50" s="3"/>
    </row>
  </sheetData>
  <mergeCells count="106">
    <mergeCell ref="B9:C9"/>
    <mergeCell ref="D9:E9"/>
    <mergeCell ref="B10:C10"/>
    <mergeCell ref="D10:E10"/>
    <mergeCell ref="B11:C11"/>
    <mergeCell ref="D11:E11"/>
    <mergeCell ref="B12:C12"/>
    <mergeCell ref="D12:E12"/>
    <mergeCell ref="B13:C13"/>
    <mergeCell ref="D13:E13"/>
    <mergeCell ref="B14:C14"/>
    <mergeCell ref="D14:E14"/>
    <mergeCell ref="L4:L5"/>
    <mergeCell ref="F1:H1"/>
    <mergeCell ref="F2:H2"/>
    <mergeCell ref="A1:B1"/>
    <mergeCell ref="A2:B2"/>
    <mergeCell ref="C1:D1"/>
    <mergeCell ref="C2:D2"/>
    <mergeCell ref="H4:H5"/>
    <mergeCell ref="J4:J5"/>
    <mergeCell ref="I4:I5"/>
    <mergeCell ref="A4:A5"/>
    <mergeCell ref="G4:G5"/>
    <mergeCell ref="F4:F5"/>
    <mergeCell ref="B7:C7"/>
    <mergeCell ref="D7:E7"/>
    <mergeCell ref="B4:E4"/>
    <mergeCell ref="B5:C5"/>
    <mergeCell ref="D5:E5"/>
    <mergeCell ref="B6:C6"/>
    <mergeCell ref="D6:E6"/>
    <mergeCell ref="B8:C8"/>
    <mergeCell ref="D8:E8"/>
    <mergeCell ref="B17:C17"/>
    <mergeCell ref="D17:E17"/>
    <mergeCell ref="B18:C18"/>
    <mergeCell ref="D18:E18"/>
    <mergeCell ref="B19:C19"/>
    <mergeCell ref="D19:E19"/>
    <mergeCell ref="B15:C15"/>
    <mergeCell ref="D15:E15"/>
    <mergeCell ref="B16:C16"/>
    <mergeCell ref="D16:E16"/>
    <mergeCell ref="B20:C20"/>
    <mergeCell ref="D20:E20"/>
    <mergeCell ref="B34:C34"/>
    <mergeCell ref="D34:E34"/>
    <mergeCell ref="B21:C21"/>
    <mergeCell ref="D21:E21"/>
    <mergeCell ref="B22:C22"/>
    <mergeCell ref="D22:E22"/>
    <mergeCell ref="B23:C23"/>
    <mergeCell ref="D23:E23"/>
    <mergeCell ref="B24:C24"/>
    <mergeCell ref="D24:E24"/>
    <mergeCell ref="B25:C25"/>
    <mergeCell ref="D25:E25"/>
    <mergeCell ref="B26:C26"/>
    <mergeCell ref="D26:E26"/>
    <mergeCell ref="B37:C37"/>
    <mergeCell ref="D37:E37"/>
    <mergeCell ref="B48:C48"/>
    <mergeCell ref="D48:E48"/>
    <mergeCell ref="B49:C49"/>
    <mergeCell ref="D49:E49"/>
    <mergeCell ref="B40:C40"/>
    <mergeCell ref="D40:E40"/>
    <mergeCell ref="B41:C41"/>
    <mergeCell ref="D41:E41"/>
    <mergeCell ref="B42:C42"/>
    <mergeCell ref="D42:E42"/>
    <mergeCell ref="B43:C43"/>
    <mergeCell ref="D43:E43"/>
    <mergeCell ref="B44:C44"/>
    <mergeCell ref="D44:E44"/>
    <mergeCell ref="B45:C45"/>
    <mergeCell ref="D45:E45"/>
    <mergeCell ref="B46:C46"/>
    <mergeCell ref="D46:E46"/>
    <mergeCell ref="B47:C47"/>
    <mergeCell ref="D47:E47"/>
    <mergeCell ref="B27:C27"/>
    <mergeCell ref="D27:E27"/>
    <mergeCell ref="B28:C28"/>
    <mergeCell ref="D28:E28"/>
    <mergeCell ref="B50:C50"/>
    <mergeCell ref="D50:E50"/>
    <mergeCell ref="B38:C38"/>
    <mergeCell ref="D38:E38"/>
    <mergeCell ref="B39:C39"/>
    <mergeCell ref="D39:E39"/>
    <mergeCell ref="B29:C29"/>
    <mergeCell ref="D29:E29"/>
    <mergeCell ref="B30:C30"/>
    <mergeCell ref="D30:E30"/>
    <mergeCell ref="B31:C31"/>
    <mergeCell ref="D31:E31"/>
    <mergeCell ref="B32:C32"/>
    <mergeCell ref="D32:E32"/>
    <mergeCell ref="B33:C33"/>
    <mergeCell ref="D33:E33"/>
    <mergeCell ref="B35:C35"/>
    <mergeCell ref="D35:E35"/>
    <mergeCell ref="B36:C36"/>
    <mergeCell ref="D36:E36"/>
  </mergeCells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N19"/>
  <sheetViews>
    <sheetView showGridLines="0" workbookViewId="0">
      <selection activeCell="AA24" sqref="AA24"/>
    </sheetView>
  </sheetViews>
  <sheetFormatPr defaultColWidth="3.625" defaultRowHeight="12"/>
  <cols>
    <col min="1" max="14" width="3.625" style="12"/>
    <col min="15" max="16384" width="3.625" style="1"/>
  </cols>
  <sheetData>
    <row r="2" spans="2:10">
      <c r="B2" s="12" t="s">
        <v>118</v>
      </c>
      <c r="E2" s="12" t="s">
        <v>120</v>
      </c>
      <c r="J2" s="12" t="s">
        <v>122</v>
      </c>
    </row>
    <row r="3" spans="2:10">
      <c r="B3" s="18" t="s">
        <v>119</v>
      </c>
      <c r="E3" s="12" t="s">
        <v>121</v>
      </c>
      <c r="J3" s="12" t="s">
        <v>123</v>
      </c>
    </row>
    <row r="4" spans="2:10">
      <c r="B4" s="18" t="s">
        <v>124</v>
      </c>
      <c r="E4" s="12" t="s">
        <v>140</v>
      </c>
      <c r="J4" s="18" t="s">
        <v>119</v>
      </c>
    </row>
    <row r="5" spans="2:10">
      <c r="B5" s="18" t="s">
        <v>125</v>
      </c>
      <c r="E5" s="12" t="s">
        <v>126</v>
      </c>
      <c r="J5" s="18" t="s">
        <v>119</v>
      </c>
    </row>
    <row r="6" spans="2:10">
      <c r="B6" s="18" t="s">
        <v>127</v>
      </c>
      <c r="E6" s="12" t="s">
        <v>129</v>
      </c>
      <c r="J6" s="41" t="s">
        <v>125</v>
      </c>
    </row>
    <row r="7" spans="2:10">
      <c r="B7" s="18" t="s">
        <v>128</v>
      </c>
      <c r="E7" s="12" t="s">
        <v>130</v>
      </c>
      <c r="J7" s="41" t="s">
        <v>125</v>
      </c>
    </row>
    <row r="8" spans="2:10">
      <c r="B8" s="18" t="s">
        <v>131</v>
      </c>
      <c r="E8" s="12" t="s">
        <v>132</v>
      </c>
      <c r="J8" s="41" t="s">
        <v>125</v>
      </c>
    </row>
    <row r="11" spans="2:10">
      <c r="B11" s="12" t="s">
        <v>133</v>
      </c>
    </row>
    <row r="12" spans="2:10">
      <c r="B12" s="12" t="s">
        <v>135</v>
      </c>
    </row>
    <row r="14" spans="2:10">
      <c r="B14" s="12" t="s">
        <v>139</v>
      </c>
    </row>
    <row r="15" spans="2:10">
      <c r="B15" s="12" t="s">
        <v>134</v>
      </c>
    </row>
    <row r="16" spans="2:10">
      <c r="C16" s="12" t="s">
        <v>136</v>
      </c>
    </row>
    <row r="17" spans="3:3">
      <c r="C17" s="12" t="s">
        <v>137</v>
      </c>
    </row>
    <row r="19" spans="3:3">
      <c r="C19" s="12" t="s">
        <v>138</v>
      </c>
    </row>
  </sheetData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W36"/>
  <sheetViews>
    <sheetView showGridLines="0" zoomScale="90" zoomScaleNormal="90" workbookViewId="0">
      <selection activeCell="L29" sqref="L29"/>
    </sheetView>
  </sheetViews>
  <sheetFormatPr defaultColWidth="3.625" defaultRowHeight="14.25"/>
  <cols>
    <col min="1" max="3" width="3.625" style="9"/>
    <col min="4" max="4" width="3.625" style="12"/>
    <col min="5" max="11" width="3.625" style="9"/>
    <col min="12" max="12" width="3.625" style="12"/>
    <col min="13" max="18" width="3.625" style="9"/>
    <col min="19" max="19" width="3.625" style="12"/>
    <col min="20" max="16384" width="3.625" style="9"/>
  </cols>
  <sheetData>
    <row r="2" spans="4:49">
      <c r="E2" s="15" t="s">
        <v>45</v>
      </c>
      <c r="F2" s="16"/>
      <c r="G2" s="16"/>
    </row>
    <row r="3" spans="4:49">
      <c r="E3" s="12" t="s">
        <v>43</v>
      </c>
    </row>
    <row r="4" spans="4:49">
      <c r="E4" s="12" t="s">
        <v>44</v>
      </c>
    </row>
    <row r="5" spans="4:49">
      <c r="D5" s="9"/>
      <c r="E5" s="12" t="s">
        <v>50</v>
      </c>
      <c r="L5" s="9"/>
    </row>
    <row r="6" spans="4:49">
      <c r="D6" s="9"/>
    </row>
    <row r="7" spans="4:49">
      <c r="Z7" s="12"/>
      <c r="AG7" s="12"/>
      <c r="AN7" s="12"/>
      <c r="AU7" s="12"/>
    </row>
    <row r="8" spans="4:49">
      <c r="D8" s="9"/>
      <c r="E8" s="12"/>
      <c r="Z8" s="12"/>
      <c r="AG8" s="12"/>
      <c r="AN8" s="12"/>
      <c r="AU8" s="12"/>
    </row>
    <row r="9" spans="4:49">
      <c r="D9" s="9"/>
      <c r="E9" s="12" t="s">
        <v>46</v>
      </c>
      <c r="L9" s="15" t="s">
        <v>45</v>
      </c>
      <c r="M9" s="16"/>
      <c r="N9" s="16"/>
      <c r="S9" s="15" t="s">
        <v>45</v>
      </c>
      <c r="T9" s="16"/>
      <c r="U9" s="16"/>
      <c r="Z9" s="15" t="s">
        <v>45</v>
      </c>
      <c r="AA9" s="16"/>
      <c r="AB9" s="16"/>
      <c r="AG9" s="15" t="s">
        <v>45</v>
      </c>
      <c r="AH9" s="16"/>
      <c r="AI9" s="16"/>
      <c r="AN9" s="15" t="s">
        <v>45</v>
      </c>
      <c r="AO9" s="16"/>
      <c r="AP9" s="16"/>
      <c r="AU9" s="15" t="s">
        <v>45</v>
      </c>
      <c r="AV9" s="16"/>
      <c r="AW9" s="16"/>
    </row>
    <row r="10" spans="4:49">
      <c r="D10" s="9"/>
      <c r="E10" s="12" t="s">
        <v>48</v>
      </c>
      <c r="L10" s="12" t="s">
        <v>47</v>
      </c>
      <c r="Z10" s="12"/>
      <c r="AG10" s="12"/>
      <c r="AN10" s="12"/>
      <c r="AU10" s="12"/>
    </row>
    <row r="11" spans="4:49">
      <c r="D11" s="9"/>
      <c r="E11" s="12" t="s">
        <v>49</v>
      </c>
      <c r="Z11" s="12"/>
      <c r="AG11" s="12"/>
      <c r="AN11" s="12"/>
      <c r="AU11" s="12"/>
    </row>
    <row r="12" spans="4:49">
      <c r="D12" s="9"/>
      <c r="E12" s="15" t="s">
        <v>45</v>
      </c>
      <c r="F12" s="16"/>
      <c r="G12" s="16"/>
      <c r="H12" s="13"/>
    </row>
    <row r="13" spans="4:49">
      <c r="D13" s="14"/>
      <c r="E13" s="13"/>
      <c r="F13" s="13"/>
      <c r="G13" s="13"/>
      <c r="Y13" s="12" t="s">
        <v>85</v>
      </c>
      <c r="AD13" s="12"/>
      <c r="AE13" s="12"/>
      <c r="AF13" s="12" t="s">
        <v>85</v>
      </c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</row>
    <row r="14" spans="4:49">
      <c r="L14" s="12" t="s">
        <v>85</v>
      </c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</row>
    <row r="15" spans="4:49"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</row>
    <row r="16" spans="4:49">
      <c r="D16" s="12" t="s">
        <v>85</v>
      </c>
      <c r="J16" s="12" t="s">
        <v>116</v>
      </c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</row>
    <row r="17" spans="2:49">
      <c r="J17" s="19"/>
      <c r="K17" s="20"/>
      <c r="L17" s="21"/>
      <c r="M17" s="20"/>
      <c r="N17" s="20"/>
      <c r="O17" s="20"/>
      <c r="P17" s="20"/>
      <c r="Q17" s="20"/>
      <c r="R17" s="20"/>
      <c r="S17" s="32"/>
      <c r="Z17" s="17"/>
      <c r="AD17" s="12" t="s">
        <v>65</v>
      </c>
      <c r="AE17" s="12"/>
      <c r="AF17" s="18"/>
      <c r="AG17" s="12"/>
      <c r="AH17" s="18"/>
      <c r="AI17" s="12"/>
      <c r="AJ17" s="12"/>
      <c r="AK17" s="12"/>
      <c r="AL17" s="12"/>
      <c r="AM17" s="12"/>
      <c r="AN17" s="12"/>
      <c r="AO17" s="12"/>
      <c r="AP17" s="12"/>
      <c r="AQ17" s="18"/>
      <c r="AR17" s="12"/>
      <c r="AS17" s="12"/>
      <c r="AT17" s="12"/>
    </row>
    <row r="18" spans="2:49">
      <c r="J18" s="23" t="s">
        <v>42</v>
      </c>
      <c r="K18" s="24"/>
      <c r="L18" s="24"/>
      <c r="M18" s="24" t="s">
        <v>108</v>
      </c>
      <c r="N18" s="24"/>
      <c r="O18" s="24"/>
      <c r="P18" s="24"/>
      <c r="Q18" s="24" t="s">
        <v>111</v>
      </c>
      <c r="R18" s="24"/>
      <c r="S18" s="25"/>
      <c r="T18" s="12"/>
      <c r="Z18" s="17"/>
      <c r="AD18" s="31"/>
      <c r="AE18" s="21"/>
      <c r="AF18" s="33"/>
      <c r="AG18" s="21"/>
      <c r="AH18" s="33"/>
      <c r="AI18" s="21"/>
      <c r="AJ18" s="21"/>
      <c r="AK18" s="21"/>
      <c r="AL18" s="21"/>
      <c r="AM18" s="21"/>
      <c r="AN18" s="21"/>
      <c r="AO18" s="21"/>
      <c r="AP18" s="21"/>
      <c r="AQ18" s="33"/>
      <c r="AR18" s="21"/>
      <c r="AS18" s="21"/>
      <c r="AT18" s="21"/>
      <c r="AU18" s="20"/>
      <c r="AV18" s="20"/>
      <c r="AW18" s="22"/>
    </row>
    <row r="19" spans="2:49">
      <c r="J19" s="23" t="s">
        <v>107</v>
      </c>
      <c r="K19" s="24"/>
      <c r="L19" s="24"/>
      <c r="M19" s="24" t="s">
        <v>109</v>
      </c>
      <c r="N19" s="24"/>
      <c r="O19" s="24"/>
      <c r="P19" s="24"/>
      <c r="Q19" s="24"/>
      <c r="R19" s="24"/>
      <c r="S19" s="25"/>
      <c r="T19" s="12"/>
      <c r="Z19" s="17"/>
      <c r="AD19" s="23" t="s">
        <v>42</v>
      </c>
      <c r="AE19" s="24"/>
      <c r="AF19" s="24" t="s">
        <v>89</v>
      </c>
      <c r="AG19" s="24"/>
      <c r="AH19" s="24" t="s">
        <v>67</v>
      </c>
      <c r="AI19" s="24"/>
      <c r="AJ19" s="24"/>
      <c r="AK19" s="24" t="s">
        <v>69</v>
      </c>
      <c r="AL19" s="24"/>
      <c r="AM19" s="24"/>
      <c r="AN19" s="24" t="s">
        <v>73</v>
      </c>
      <c r="AO19" s="24"/>
      <c r="AP19" s="24"/>
      <c r="AQ19" s="24"/>
      <c r="AR19" s="24"/>
      <c r="AS19" s="24"/>
      <c r="AT19" s="24" t="s">
        <v>81</v>
      </c>
      <c r="AU19" s="24"/>
      <c r="AV19" s="34"/>
      <c r="AW19" s="35"/>
    </row>
    <row r="20" spans="2:49">
      <c r="J20" s="23">
        <v>1</v>
      </c>
      <c r="K20" s="24"/>
      <c r="L20" s="24"/>
      <c r="M20" s="24" t="s">
        <v>110</v>
      </c>
      <c r="N20" s="24"/>
      <c r="O20" s="24"/>
      <c r="P20" s="24"/>
      <c r="Q20" s="24" t="s">
        <v>113</v>
      </c>
      <c r="R20" s="24"/>
      <c r="S20" s="25"/>
      <c r="T20" s="12"/>
      <c r="Y20" s="12"/>
      <c r="Z20" s="17"/>
      <c r="AD20" s="23" t="s">
        <v>82</v>
      </c>
      <c r="AE20" s="24"/>
      <c r="AF20" s="24" t="s">
        <v>82</v>
      </c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6"/>
      <c r="AS20" s="24"/>
      <c r="AT20" s="24"/>
      <c r="AU20" s="24"/>
      <c r="AV20" s="34"/>
      <c r="AW20" s="35"/>
    </row>
    <row r="21" spans="2:49">
      <c r="J21" s="39">
        <v>1</v>
      </c>
      <c r="K21" s="40"/>
      <c r="L21" s="40"/>
      <c r="M21" s="40" t="s">
        <v>112</v>
      </c>
      <c r="N21" s="40"/>
      <c r="O21" s="40"/>
      <c r="P21" s="40"/>
      <c r="Q21" s="40" t="s">
        <v>114</v>
      </c>
      <c r="R21" s="40"/>
      <c r="S21" s="25"/>
      <c r="T21" s="12"/>
      <c r="Z21" s="17"/>
      <c r="AD21" s="23">
        <v>2</v>
      </c>
      <c r="AE21" s="24"/>
      <c r="AF21" s="26">
        <v>1</v>
      </c>
      <c r="AG21" s="24"/>
      <c r="AH21" s="26" t="s">
        <v>68</v>
      </c>
      <c r="AI21" s="24"/>
      <c r="AJ21" s="24"/>
      <c r="AK21" s="24" t="s">
        <v>70</v>
      </c>
      <c r="AL21" s="24"/>
      <c r="AM21" s="24"/>
      <c r="AN21" s="24" t="s">
        <v>74</v>
      </c>
      <c r="AO21" s="24"/>
      <c r="AP21" s="24"/>
      <c r="AQ21" s="24"/>
      <c r="AR21" s="26"/>
      <c r="AS21" s="24"/>
      <c r="AT21" s="26" t="s">
        <v>78</v>
      </c>
      <c r="AU21" s="24"/>
      <c r="AV21" s="34"/>
      <c r="AW21" s="35"/>
    </row>
    <row r="22" spans="2:49">
      <c r="J22" s="39">
        <v>2</v>
      </c>
      <c r="K22" s="40"/>
      <c r="L22" s="40"/>
      <c r="M22" s="40" t="s">
        <v>110</v>
      </c>
      <c r="N22" s="40"/>
      <c r="O22" s="40"/>
      <c r="P22" s="40"/>
      <c r="Q22" s="40" t="s">
        <v>115</v>
      </c>
      <c r="R22" s="40"/>
      <c r="S22" s="25"/>
      <c r="T22" s="12"/>
      <c r="AD22" s="23">
        <v>2</v>
      </c>
      <c r="AE22" s="24"/>
      <c r="AF22" s="26">
        <v>2</v>
      </c>
      <c r="AG22" s="24"/>
      <c r="AH22" s="26" t="s">
        <v>68</v>
      </c>
      <c r="AI22" s="24"/>
      <c r="AJ22" s="24"/>
      <c r="AK22" s="24" t="s">
        <v>70</v>
      </c>
      <c r="AL22" s="24"/>
      <c r="AM22" s="24"/>
      <c r="AN22" s="24" t="s">
        <v>75</v>
      </c>
      <c r="AO22" s="24"/>
      <c r="AP22" s="24"/>
      <c r="AQ22" s="24"/>
      <c r="AR22" s="26"/>
      <c r="AS22" s="24"/>
      <c r="AT22" s="26" t="s">
        <v>79</v>
      </c>
      <c r="AU22" s="24"/>
      <c r="AV22" s="34"/>
      <c r="AW22" s="35"/>
    </row>
    <row r="23" spans="2:49">
      <c r="J23" s="23">
        <v>3</v>
      </c>
      <c r="K23" s="24"/>
      <c r="L23" s="24"/>
      <c r="M23" s="24" t="s">
        <v>110</v>
      </c>
      <c r="N23" s="24"/>
      <c r="O23" s="24"/>
      <c r="P23" s="24"/>
      <c r="Q23" s="24" t="s">
        <v>115</v>
      </c>
      <c r="R23" s="24"/>
      <c r="S23" s="25"/>
      <c r="T23" s="12"/>
      <c r="AD23" s="23">
        <v>2</v>
      </c>
      <c r="AE23" s="24"/>
      <c r="AF23" s="26">
        <v>3</v>
      </c>
      <c r="AG23" s="24"/>
      <c r="AH23" s="26" t="s">
        <v>68</v>
      </c>
      <c r="AI23" s="24"/>
      <c r="AJ23" s="24"/>
      <c r="AK23" s="24" t="s">
        <v>71</v>
      </c>
      <c r="AL23" s="24"/>
      <c r="AM23" s="24"/>
      <c r="AN23" s="24" t="s">
        <v>76</v>
      </c>
      <c r="AO23" s="24"/>
      <c r="AP23" s="24"/>
      <c r="AQ23" s="24"/>
      <c r="AR23" s="26"/>
      <c r="AS23" s="24"/>
      <c r="AT23" s="26" t="s">
        <v>61</v>
      </c>
      <c r="AU23" s="24"/>
      <c r="AV23" s="34"/>
      <c r="AW23" s="35"/>
    </row>
    <row r="24" spans="2:49">
      <c r="J24" s="23">
        <v>3</v>
      </c>
      <c r="K24" s="24"/>
      <c r="L24" s="24"/>
      <c r="M24" s="24" t="s">
        <v>112</v>
      </c>
      <c r="N24" s="24"/>
      <c r="O24" s="24"/>
      <c r="P24" s="24"/>
      <c r="Q24" s="24" t="s">
        <v>117</v>
      </c>
      <c r="R24" s="24"/>
      <c r="S24" s="25"/>
      <c r="T24" s="12"/>
      <c r="AD24" s="23">
        <v>2</v>
      </c>
      <c r="AE24" s="24"/>
      <c r="AF24" s="26">
        <v>4</v>
      </c>
      <c r="AG24" s="24"/>
      <c r="AH24" s="26" t="s">
        <v>68</v>
      </c>
      <c r="AI24" s="24"/>
      <c r="AJ24" s="24"/>
      <c r="AK24" s="24" t="s">
        <v>72</v>
      </c>
      <c r="AL24" s="24"/>
      <c r="AM24" s="24"/>
      <c r="AN24" s="24" t="s">
        <v>77</v>
      </c>
      <c r="AO24" s="24"/>
      <c r="AP24" s="24"/>
      <c r="AQ24" s="24"/>
      <c r="AR24" s="26"/>
      <c r="AS24" s="24"/>
      <c r="AT24" s="26" t="s">
        <v>80</v>
      </c>
      <c r="AU24" s="24"/>
      <c r="AV24" s="34"/>
      <c r="AW24" s="35"/>
    </row>
    <row r="25" spans="2:49">
      <c r="J25" s="27"/>
      <c r="K25" s="28"/>
      <c r="L25" s="29"/>
      <c r="M25" s="28"/>
      <c r="N25" s="28"/>
      <c r="O25" s="28"/>
      <c r="P25" s="28"/>
      <c r="Q25" s="28"/>
      <c r="R25" s="28"/>
      <c r="S25" s="38"/>
      <c r="AD25" s="36"/>
      <c r="AE25" s="29"/>
      <c r="AF25" s="37"/>
      <c r="AG25" s="29"/>
      <c r="AH25" s="37"/>
      <c r="AI25" s="29"/>
      <c r="AJ25" s="29"/>
      <c r="AK25" s="29"/>
      <c r="AL25" s="29"/>
      <c r="AM25" s="29"/>
      <c r="AN25" s="29"/>
      <c r="AO25" s="29"/>
      <c r="AP25" s="29"/>
      <c r="AQ25" s="29"/>
      <c r="AR25" s="37"/>
      <c r="AS25" s="29"/>
      <c r="AT25" s="37"/>
      <c r="AU25" s="29"/>
      <c r="AV25" s="28"/>
      <c r="AW25" s="30"/>
    </row>
    <row r="26" spans="2:49">
      <c r="B26" s="12" t="s">
        <v>66</v>
      </c>
      <c r="V26" s="12"/>
      <c r="W26" s="12" t="s">
        <v>65</v>
      </c>
    </row>
    <row r="27" spans="2:49">
      <c r="B27" s="19"/>
      <c r="C27" s="20"/>
      <c r="D27" s="21"/>
      <c r="E27" s="20"/>
      <c r="F27" s="20"/>
      <c r="G27" s="20"/>
      <c r="H27" s="20"/>
      <c r="I27" s="22"/>
      <c r="W27" s="31"/>
      <c r="X27" s="21"/>
      <c r="Y27" s="21"/>
      <c r="Z27" s="21"/>
      <c r="AA27" s="21"/>
      <c r="AB27" s="21"/>
      <c r="AC27" s="21"/>
      <c r="AD27" s="21"/>
      <c r="AE27" s="21"/>
      <c r="AF27" s="20"/>
      <c r="AG27" s="21"/>
      <c r="AH27" s="21"/>
      <c r="AI27" s="21"/>
      <c r="AJ27" s="21"/>
      <c r="AK27" s="21"/>
      <c r="AL27" s="21"/>
      <c r="AM27" s="21"/>
      <c r="AN27" s="21"/>
      <c r="AO27" s="32"/>
    </row>
    <row r="28" spans="2:49">
      <c r="B28" s="23" t="s">
        <v>43</v>
      </c>
      <c r="C28" s="24"/>
      <c r="D28" s="24" t="s">
        <v>86</v>
      </c>
      <c r="E28" s="24"/>
      <c r="F28" s="24" t="s">
        <v>87</v>
      </c>
      <c r="G28" s="24" t="s">
        <v>42</v>
      </c>
      <c r="H28" s="24"/>
      <c r="I28" s="25"/>
      <c r="J28" s="12"/>
      <c r="K28" s="12"/>
      <c r="M28" s="12"/>
      <c r="N28" s="12"/>
      <c r="O28" s="12"/>
      <c r="P28" s="12"/>
      <c r="Q28" s="12"/>
      <c r="R28" s="12"/>
      <c r="T28" s="12"/>
      <c r="U28" s="12"/>
      <c r="W28" s="23" t="s">
        <v>42</v>
      </c>
      <c r="X28" s="24"/>
      <c r="Y28" s="24" t="s">
        <v>51</v>
      </c>
      <c r="Z28" s="24"/>
      <c r="AA28" s="24" t="s">
        <v>89</v>
      </c>
      <c r="AB28" s="24"/>
      <c r="AC28" s="24" t="s">
        <v>53</v>
      </c>
      <c r="AD28" s="24"/>
      <c r="AE28" s="24" t="s">
        <v>83</v>
      </c>
      <c r="AF28" s="24"/>
      <c r="AG28" s="24" t="s">
        <v>84</v>
      </c>
      <c r="AH28" s="24"/>
      <c r="AI28" s="24"/>
      <c r="AJ28" s="24" t="s">
        <v>81</v>
      </c>
      <c r="AK28" s="24"/>
      <c r="AL28" s="24"/>
      <c r="AM28" s="24"/>
      <c r="AN28" s="24"/>
      <c r="AO28" s="25"/>
    </row>
    <row r="29" spans="2:49">
      <c r="B29" s="23">
        <v>1</v>
      </c>
      <c r="C29" s="24"/>
      <c r="D29" s="26" t="s">
        <v>88</v>
      </c>
      <c r="E29" s="24"/>
      <c r="F29" s="24">
        <v>1</v>
      </c>
      <c r="G29" s="24"/>
      <c r="H29" s="24">
        <v>1</v>
      </c>
      <c r="I29" s="25"/>
      <c r="J29" s="12"/>
      <c r="K29" s="12"/>
      <c r="M29" s="12"/>
      <c r="N29" s="12"/>
      <c r="O29" s="12"/>
      <c r="P29" s="12"/>
      <c r="Q29" s="12"/>
      <c r="R29" s="12"/>
      <c r="T29" s="12"/>
      <c r="U29" s="12"/>
      <c r="W29" s="23" t="s">
        <v>82</v>
      </c>
      <c r="X29" s="24"/>
      <c r="Y29" s="24" t="s">
        <v>82</v>
      </c>
      <c r="Z29" s="24"/>
      <c r="AA29" s="24" t="s">
        <v>82</v>
      </c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5"/>
    </row>
    <row r="30" spans="2:49">
      <c r="B30" s="23">
        <v>1</v>
      </c>
      <c r="C30" s="24"/>
      <c r="D30" s="26" t="s">
        <v>88</v>
      </c>
      <c r="E30" s="24"/>
      <c r="F30" s="24">
        <v>2</v>
      </c>
      <c r="G30" s="24"/>
      <c r="H30" s="24">
        <v>1</v>
      </c>
      <c r="I30" s="25"/>
      <c r="J30" s="12"/>
      <c r="K30" s="12"/>
      <c r="M30" s="12"/>
      <c r="N30" s="12"/>
      <c r="O30" s="12"/>
      <c r="P30" s="12"/>
      <c r="Q30" s="12"/>
      <c r="R30" s="12"/>
      <c r="T30" s="12"/>
      <c r="U30" s="12"/>
      <c r="W30" s="23">
        <v>1</v>
      </c>
      <c r="X30" s="24"/>
      <c r="Y30" s="26" t="s">
        <v>52</v>
      </c>
      <c r="Z30" s="24"/>
      <c r="AA30" s="26">
        <v>1</v>
      </c>
      <c r="AB30" s="24"/>
      <c r="AC30" s="24" t="s">
        <v>54</v>
      </c>
      <c r="AD30" s="24"/>
      <c r="AE30" s="24" t="s">
        <v>57</v>
      </c>
      <c r="AF30" s="24"/>
      <c r="AG30" s="24" t="s">
        <v>56</v>
      </c>
      <c r="AH30" s="24"/>
      <c r="AI30" s="24"/>
      <c r="AJ30" s="26" t="s">
        <v>61</v>
      </c>
      <c r="AK30" s="24"/>
      <c r="AL30" s="24"/>
      <c r="AM30" s="24"/>
      <c r="AN30" s="24"/>
      <c r="AO30" s="25"/>
    </row>
    <row r="31" spans="2:49">
      <c r="B31" s="23">
        <v>1</v>
      </c>
      <c r="C31" s="24"/>
      <c r="D31" s="26" t="s">
        <v>88</v>
      </c>
      <c r="E31" s="24"/>
      <c r="F31" s="24">
        <v>3</v>
      </c>
      <c r="G31" s="24"/>
      <c r="H31" s="24">
        <v>1</v>
      </c>
      <c r="I31" s="25"/>
      <c r="J31" s="12"/>
      <c r="K31" s="12"/>
      <c r="M31" s="12"/>
      <c r="N31" s="12"/>
      <c r="O31" s="12"/>
      <c r="P31" s="12"/>
      <c r="Q31" s="12"/>
      <c r="R31" s="12"/>
      <c r="T31" s="12"/>
      <c r="U31" s="12"/>
      <c r="W31" s="23">
        <v>1</v>
      </c>
      <c r="X31" s="24"/>
      <c r="Y31" s="26" t="s">
        <v>52</v>
      </c>
      <c r="Z31" s="24"/>
      <c r="AA31" s="26">
        <v>2</v>
      </c>
      <c r="AB31" s="24"/>
      <c r="AC31" s="24" t="s">
        <v>55</v>
      </c>
      <c r="AD31" s="24"/>
      <c r="AE31" s="24" t="s">
        <v>57</v>
      </c>
      <c r="AF31" s="24"/>
      <c r="AG31" s="24" t="s">
        <v>58</v>
      </c>
      <c r="AH31" s="24"/>
      <c r="AI31" s="24"/>
      <c r="AJ31" s="26" t="s">
        <v>62</v>
      </c>
      <c r="AK31" s="24"/>
      <c r="AL31" s="24"/>
      <c r="AM31" s="24"/>
      <c r="AN31" s="24"/>
      <c r="AO31" s="25"/>
    </row>
    <row r="32" spans="2:49">
      <c r="B32" s="23">
        <v>1</v>
      </c>
      <c r="C32" s="24"/>
      <c r="D32" s="26" t="s">
        <v>88</v>
      </c>
      <c r="E32" s="24"/>
      <c r="F32" s="24">
        <v>4</v>
      </c>
      <c r="G32" s="24"/>
      <c r="H32" s="24">
        <v>1</v>
      </c>
      <c r="I32" s="25"/>
      <c r="J32" s="12"/>
      <c r="K32" s="12"/>
      <c r="M32" s="12"/>
      <c r="N32" s="12"/>
      <c r="O32" s="12"/>
      <c r="P32" s="12"/>
      <c r="Q32" s="12"/>
      <c r="R32" s="12"/>
      <c r="T32" s="12"/>
      <c r="U32" s="12"/>
      <c r="W32" s="23">
        <v>1</v>
      </c>
      <c r="X32" s="24"/>
      <c r="Y32" s="26" t="s">
        <v>52</v>
      </c>
      <c r="Z32" s="24"/>
      <c r="AA32" s="26">
        <v>3</v>
      </c>
      <c r="AB32" s="24"/>
      <c r="AC32" s="24" t="s">
        <v>54</v>
      </c>
      <c r="AD32" s="24"/>
      <c r="AE32" s="24" t="s">
        <v>57</v>
      </c>
      <c r="AF32" s="24"/>
      <c r="AG32" s="24" t="s">
        <v>59</v>
      </c>
      <c r="AH32" s="24"/>
      <c r="AI32" s="24"/>
      <c r="AJ32" s="26" t="s">
        <v>63</v>
      </c>
      <c r="AK32" s="24"/>
      <c r="AL32" s="24"/>
      <c r="AM32" s="24"/>
      <c r="AN32" s="24"/>
      <c r="AO32" s="25"/>
    </row>
    <row r="33" spans="2:41">
      <c r="B33" s="23">
        <v>1</v>
      </c>
      <c r="C33" s="24"/>
      <c r="D33" s="26" t="s">
        <v>88</v>
      </c>
      <c r="E33" s="24"/>
      <c r="F33" s="24">
        <v>5</v>
      </c>
      <c r="G33" s="24"/>
      <c r="H33" s="24">
        <v>1</v>
      </c>
      <c r="I33" s="25"/>
      <c r="J33" s="12"/>
      <c r="K33" s="12"/>
      <c r="M33" s="12"/>
      <c r="N33" s="12"/>
      <c r="O33" s="12"/>
      <c r="P33" s="12"/>
      <c r="Q33" s="12"/>
      <c r="R33" s="12"/>
      <c r="T33" s="12"/>
      <c r="U33" s="12"/>
      <c r="W33" s="23">
        <v>1</v>
      </c>
      <c r="X33" s="24"/>
      <c r="Y33" s="26" t="s">
        <v>52</v>
      </c>
      <c r="Z33" s="24"/>
      <c r="AA33" s="26">
        <v>4</v>
      </c>
      <c r="AB33" s="24"/>
      <c r="AC33" s="24" t="s">
        <v>54</v>
      </c>
      <c r="AD33" s="24"/>
      <c r="AE33" s="24" t="s">
        <v>60</v>
      </c>
      <c r="AF33" s="24"/>
      <c r="AG33" s="24" t="s">
        <v>56</v>
      </c>
      <c r="AH33" s="24"/>
      <c r="AI33" s="24"/>
      <c r="AJ33" s="26" t="s">
        <v>62</v>
      </c>
      <c r="AK33" s="24"/>
      <c r="AL33" s="24" t="s">
        <v>64</v>
      </c>
      <c r="AM33" s="24"/>
      <c r="AN33" s="24"/>
      <c r="AO33" s="25"/>
    </row>
    <row r="34" spans="2:41">
      <c r="B34" s="23">
        <v>1</v>
      </c>
      <c r="C34" s="24"/>
      <c r="D34" s="26" t="s">
        <v>88</v>
      </c>
      <c r="E34" s="24"/>
      <c r="F34" s="24">
        <v>6</v>
      </c>
      <c r="G34" s="24"/>
      <c r="H34" s="24">
        <v>1</v>
      </c>
      <c r="I34" s="25"/>
      <c r="J34" s="12"/>
      <c r="K34" s="12"/>
      <c r="M34" s="12"/>
      <c r="N34" s="12"/>
      <c r="O34" s="12"/>
      <c r="P34" s="12"/>
      <c r="Q34" s="12"/>
      <c r="R34" s="12"/>
      <c r="T34" s="12"/>
      <c r="U34" s="12"/>
      <c r="W34" s="27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30"/>
    </row>
    <row r="35" spans="2:41">
      <c r="B35" s="23">
        <v>1</v>
      </c>
      <c r="C35" s="24"/>
      <c r="D35" s="26" t="s">
        <v>88</v>
      </c>
      <c r="E35" s="24"/>
      <c r="F35" s="24">
        <v>7</v>
      </c>
      <c r="G35" s="24"/>
      <c r="H35" s="24">
        <v>1</v>
      </c>
      <c r="I35" s="25"/>
      <c r="J35" s="12"/>
      <c r="K35" s="12"/>
      <c r="M35" s="12"/>
      <c r="N35" s="12"/>
      <c r="O35" s="12"/>
      <c r="P35" s="12"/>
      <c r="Q35" s="12"/>
      <c r="R35" s="12"/>
      <c r="T35" s="12"/>
      <c r="U35" s="12"/>
    </row>
    <row r="36" spans="2:41">
      <c r="B36" s="27"/>
      <c r="C36" s="28"/>
      <c r="D36" s="29"/>
      <c r="E36" s="28"/>
      <c r="F36" s="28"/>
      <c r="G36" s="28"/>
      <c r="H36" s="28"/>
      <c r="I36" s="30"/>
    </row>
  </sheetData>
  <phoneticPr fontId="2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組織マスタのイメージ</vt:lpstr>
      <vt:lpstr>申請系テーブルのイメージ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user01</cp:lastModifiedBy>
  <dcterms:created xsi:type="dcterms:W3CDTF">2015-06-05T18:19:34Z</dcterms:created>
  <dcterms:modified xsi:type="dcterms:W3CDTF">2018-06-05T06:29:58Z</dcterms:modified>
</cp:coreProperties>
</file>