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attend\Attend-Doc\wk\DB設計\001_テーブル定義\"/>
    </mc:Choice>
  </mc:AlternateContent>
  <bookViews>
    <workbookView xWindow="0" yWindow="0" windowWidth="22260" windowHeight="12645"/>
  </bookViews>
  <sheets>
    <sheet name="Sheet1" sheetId="1" r:id="rId1"/>
    <sheet name="Sheet2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9" i="1" l="1"/>
  <c r="H18" i="1"/>
  <c r="H17" i="1"/>
  <c r="H16" i="1"/>
  <c r="H15" i="1"/>
  <c r="H14" i="1"/>
  <c r="J1" i="1" l="1"/>
  <c r="H13" i="1"/>
  <c r="H12" i="1"/>
  <c r="H11" i="1"/>
  <c r="H10" i="1"/>
  <c r="H9" i="1"/>
  <c r="H8" i="1"/>
  <c r="H7" i="1"/>
  <c r="H6" i="1"/>
</calcChain>
</file>

<file path=xl/sharedStrings.xml><?xml version="1.0" encoding="utf-8"?>
<sst xmlns="http://schemas.openxmlformats.org/spreadsheetml/2006/main" count="64" uniqueCount="44">
  <si>
    <t>システムID</t>
    <phoneticPr fontId="2"/>
  </si>
  <si>
    <t>No.</t>
    <phoneticPr fontId="2"/>
  </si>
  <si>
    <t>テーブル名</t>
    <rPh sb="4" eb="5">
      <t>メイ</t>
    </rPh>
    <phoneticPr fontId="2"/>
  </si>
  <si>
    <t>論理名</t>
    <rPh sb="0" eb="2">
      <t>ロンリ</t>
    </rPh>
    <rPh sb="2" eb="3">
      <t>メイ</t>
    </rPh>
    <phoneticPr fontId="2"/>
  </si>
  <si>
    <t>物理名</t>
    <rPh sb="0" eb="2">
      <t>ブツリ</t>
    </rPh>
    <rPh sb="2" eb="3">
      <t>メイ</t>
    </rPh>
    <phoneticPr fontId="2"/>
  </si>
  <si>
    <t>作成日</t>
    <rPh sb="0" eb="2">
      <t>サクセイ</t>
    </rPh>
    <rPh sb="2" eb="3">
      <t>ビ</t>
    </rPh>
    <phoneticPr fontId="2"/>
  </si>
  <si>
    <t>作成者</t>
    <rPh sb="0" eb="3">
      <t>サクセイシャ</t>
    </rPh>
    <phoneticPr fontId="2"/>
  </si>
  <si>
    <t>ファイル名</t>
    <rPh sb="4" eb="5">
      <t>メイ</t>
    </rPh>
    <phoneticPr fontId="2"/>
  </si>
  <si>
    <t>備考</t>
    <rPh sb="0" eb="2">
      <t>ビコウ</t>
    </rPh>
    <phoneticPr fontId="2"/>
  </si>
  <si>
    <t>説明</t>
    <rPh sb="0" eb="2">
      <t>セツメイ</t>
    </rPh>
    <phoneticPr fontId="2"/>
  </si>
  <si>
    <t>システム名</t>
    <rPh sb="4" eb="5">
      <t>メイ</t>
    </rPh>
    <phoneticPr fontId="2"/>
  </si>
  <si>
    <t>サブシステムID</t>
    <phoneticPr fontId="2"/>
  </si>
  <si>
    <t>サブシステム名</t>
    <rPh sb="6" eb="7">
      <t>メイ</t>
    </rPh>
    <phoneticPr fontId="2"/>
  </si>
  <si>
    <t>テーブル数</t>
    <rPh sb="4" eb="5">
      <t>スウ</t>
    </rPh>
    <phoneticPr fontId="2"/>
  </si>
  <si>
    <t>社員マスタ</t>
    <rPh sb="0" eb="2">
      <t>シャイン</t>
    </rPh>
    <phoneticPr fontId="2"/>
  </si>
  <si>
    <t>SYAIN_MST</t>
    <phoneticPr fontId="2"/>
  </si>
  <si>
    <t>作成
対象</t>
    <rPh sb="0" eb="2">
      <t>サクセイ</t>
    </rPh>
    <rPh sb="3" eb="5">
      <t>タイショウ</t>
    </rPh>
    <phoneticPr fontId="2"/>
  </si>
  <si>
    <t>〇</t>
    <phoneticPr fontId="2"/>
  </si>
  <si>
    <t>kyuyo</t>
    <phoneticPr fontId="2"/>
  </si>
  <si>
    <t>cord</t>
    <phoneticPr fontId="2"/>
  </si>
  <si>
    <t>勤務時間</t>
    <rPh sb="0" eb="2">
      <t>キンム</t>
    </rPh>
    <rPh sb="2" eb="4">
      <t>ジカン</t>
    </rPh>
    <phoneticPr fontId="2"/>
  </si>
  <si>
    <t>勤務時間設定</t>
    <rPh sb="0" eb="2">
      <t>キンム</t>
    </rPh>
    <rPh sb="2" eb="4">
      <t>ジカン</t>
    </rPh>
    <rPh sb="4" eb="6">
      <t>セッテイ</t>
    </rPh>
    <phoneticPr fontId="2"/>
  </si>
  <si>
    <t>祝日管理</t>
    <rPh sb="0" eb="2">
      <t>シュクジツ</t>
    </rPh>
    <rPh sb="2" eb="4">
      <t>カンリ</t>
    </rPh>
    <phoneticPr fontId="2"/>
  </si>
  <si>
    <t>申請</t>
    <rPh sb="0" eb="2">
      <t>シンセイ</t>
    </rPh>
    <phoneticPr fontId="2"/>
  </si>
  <si>
    <t>申請マスタ</t>
    <rPh sb="0" eb="2">
      <t>シンセイ</t>
    </rPh>
    <phoneticPr fontId="2"/>
  </si>
  <si>
    <t>締め管理</t>
    <rPh sb="0" eb="1">
      <t>シ</t>
    </rPh>
    <rPh sb="2" eb="4">
      <t>カンリ</t>
    </rPh>
    <phoneticPr fontId="2"/>
  </si>
  <si>
    <t>有給管理</t>
    <rPh sb="0" eb="2">
      <t>ユウキュウ</t>
    </rPh>
    <rPh sb="2" eb="4">
      <t>カンリ</t>
    </rPh>
    <phoneticPr fontId="2"/>
  </si>
  <si>
    <t>高橋</t>
    <rPh sb="0" eb="2">
      <t>タカハシ</t>
    </rPh>
    <phoneticPr fontId="2"/>
  </si>
  <si>
    <t>「新規申請」画面の一覧に表示</t>
    <rPh sb="1" eb="3">
      <t>シンキ</t>
    </rPh>
    <rPh sb="3" eb="5">
      <t>シンセイ</t>
    </rPh>
    <rPh sb="6" eb="8">
      <t>ガメン</t>
    </rPh>
    <rPh sb="9" eb="11">
      <t>イチラン</t>
    </rPh>
    <rPh sb="12" eb="14">
      <t>ヒョウジ</t>
    </rPh>
    <phoneticPr fontId="2"/>
  </si>
  <si>
    <t>各種申請の種類を定義する</t>
    <rPh sb="0" eb="2">
      <t>カクシュ</t>
    </rPh>
    <rPh sb="2" eb="4">
      <t>シンセイ</t>
    </rPh>
    <rPh sb="5" eb="7">
      <t>シュルイ</t>
    </rPh>
    <rPh sb="8" eb="10">
      <t>テイギ</t>
    </rPh>
    <phoneticPr fontId="2"/>
  </si>
  <si>
    <t>申請詳細</t>
    <rPh sb="0" eb="2">
      <t>シンセイ</t>
    </rPh>
    <rPh sb="2" eb="4">
      <t>ショウサイ</t>
    </rPh>
    <phoneticPr fontId="2"/>
  </si>
  <si>
    <t>秋元</t>
    <rPh sb="0" eb="2">
      <t>アキモト</t>
    </rPh>
    <phoneticPr fontId="2"/>
  </si>
  <si>
    <t>経費申請</t>
    <rPh sb="0" eb="2">
      <t>ケイヒ</t>
    </rPh>
    <rPh sb="2" eb="4">
      <t>シンセイ</t>
    </rPh>
    <phoneticPr fontId="2"/>
  </si>
  <si>
    <t>通勤手当申請</t>
    <rPh sb="0" eb="2">
      <t>ツウキン</t>
    </rPh>
    <rPh sb="2" eb="4">
      <t>テアテ</t>
    </rPh>
    <rPh sb="4" eb="6">
      <t>シンセイ</t>
    </rPh>
    <phoneticPr fontId="2"/>
  </si>
  <si>
    <t>休日出勤申請</t>
    <rPh sb="0" eb="2">
      <t>キュウジツ</t>
    </rPh>
    <rPh sb="2" eb="4">
      <t>シュッキン</t>
    </rPh>
    <rPh sb="4" eb="6">
      <t>シンセイ</t>
    </rPh>
    <phoneticPr fontId="2"/>
  </si>
  <si>
    <t>休暇取得申請</t>
    <rPh sb="0" eb="2">
      <t>キュウカ</t>
    </rPh>
    <rPh sb="2" eb="4">
      <t>シュトク</t>
    </rPh>
    <rPh sb="4" eb="6">
      <t>シンセイ</t>
    </rPh>
    <phoneticPr fontId="2"/>
  </si>
  <si>
    <t>書籍購入支援申請</t>
    <rPh sb="0" eb="2">
      <t>ショセキ</t>
    </rPh>
    <rPh sb="2" eb="4">
      <t>コウニュウ</t>
    </rPh>
    <rPh sb="4" eb="6">
      <t>シエン</t>
    </rPh>
    <rPh sb="6" eb="8">
      <t>シンセイ</t>
    </rPh>
    <phoneticPr fontId="2"/>
  </si>
  <si>
    <t>各種申請の状況を管理する</t>
    <rPh sb="0" eb="2">
      <t>カクシュ</t>
    </rPh>
    <rPh sb="2" eb="4">
      <t>シンセイ</t>
    </rPh>
    <rPh sb="5" eb="7">
      <t>ジョウキョウ</t>
    </rPh>
    <rPh sb="8" eb="10">
      <t>カンリ</t>
    </rPh>
    <phoneticPr fontId="2"/>
  </si>
  <si>
    <t>各種申請の承認状況の詳細を管理する</t>
    <rPh sb="0" eb="2">
      <t>カクシュ</t>
    </rPh>
    <rPh sb="2" eb="4">
      <t>シンセイ</t>
    </rPh>
    <rPh sb="5" eb="7">
      <t>ショウニン</t>
    </rPh>
    <rPh sb="7" eb="9">
      <t>ジョウキョウ</t>
    </rPh>
    <rPh sb="10" eb="12">
      <t>ショウサイ</t>
    </rPh>
    <rPh sb="13" eb="15">
      <t>カンリ</t>
    </rPh>
    <phoneticPr fontId="2"/>
  </si>
  <si>
    <t>休暇取得申請の申請内容を管理する</t>
    <rPh sb="0" eb="2">
      <t>キュウカ</t>
    </rPh>
    <rPh sb="2" eb="4">
      <t>シュトク</t>
    </rPh>
    <rPh sb="4" eb="6">
      <t>シンセイ</t>
    </rPh>
    <rPh sb="7" eb="9">
      <t>シンセイ</t>
    </rPh>
    <rPh sb="9" eb="11">
      <t>ナイヨウ</t>
    </rPh>
    <rPh sb="12" eb="14">
      <t>カンリ</t>
    </rPh>
    <phoneticPr fontId="2"/>
  </si>
  <si>
    <t>通勤手当申請の申請内容を管理する</t>
    <rPh sb="0" eb="2">
      <t>ツウキン</t>
    </rPh>
    <rPh sb="2" eb="4">
      <t>テアテ</t>
    </rPh>
    <rPh sb="4" eb="6">
      <t>シンセイ</t>
    </rPh>
    <rPh sb="7" eb="9">
      <t>シンセイ</t>
    </rPh>
    <rPh sb="9" eb="11">
      <t>ナイヨウ</t>
    </rPh>
    <rPh sb="12" eb="14">
      <t>カンリ</t>
    </rPh>
    <phoneticPr fontId="2"/>
  </si>
  <si>
    <t>経費申請の申請内容を管理する</t>
    <rPh sb="0" eb="2">
      <t>ケイヒ</t>
    </rPh>
    <rPh sb="2" eb="4">
      <t>シンセイ</t>
    </rPh>
    <rPh sb="5" eb="7">
      <t>シンセイ</t>
    </rPh>
    <rPh sb="7" eb="9">
      <t>ナイヨウ</t>
    </rPh>
    <rPh sb="10" eb="12">
      <t>カンリ</t>
    </rPh>
    <phoneticPr fontId="2"/>
  </si>
  <si>
    <t>書籍購入支援申請の申請内容を管理する</t>
    <rPh sb="0" eb="2">
      <t>ショセキ</t>
    </rPh>
    <rPh sb="2" eb="4">
      <t>コウニュウ</t>
    </rPh>
    <rPh sb="4" eb="6">
      <t>シエン</t>
    </rPh>
    <rPh sb="6" eb="8">
      <t>シンセイ</t>
    </rPh>
    <rPh sb="9" eb="11">
      <t>シンセイ</t>
    </rPh>
    <rPh sb="11" eb="13">
      <t>ナイヨウ</t>
    </rPh>
    <rPh sb="14" eb="16">
      <t>カンリ</t>
    </rPh>
    <phoneticPr fontId="2"/>
  </si>
  <si>
    <t>休日出勤申請の申請内容を管理する</t>
    <rPh sb="0" eb="2">
      <t>キュウジツ</t>
    </rPh>
    <rPh sb="2" eb="4">
      <t>シュッキン</t>
    </rPh>
    <rPh sb="4" eb="6">
      <t>シンセイ</t>
    </rPh>
    <rPh sb="7" eb="9">
      <t>シンセイ</t>
    </rPh>
    <rPh sb="9" eb="11">
      <t>ナイヨウ</t>
    </rPh>
    <rPh sb="12" eb="14">
      <t>カンリ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</si>
</sst>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Yu Gothic"/>
      <family val="2"/>
      <scheme val="minor"/>
    </font>
    <font>
      <sz val="9"/>
      <color theme="1"/>
      <name val="Meiryo UI"/>
      <family val="3"/>
      <charset val="128"/>
    </font>
    <font>
      <sz val="6"/>
      <name val="Yu Gothic"/>
      <family val="3"/>
      <charset val="128"/>
      <scheme val="minor"/>
    </font>
    <font>
      <sz val="10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0" borderId="1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" fillId="2" borderId="1" xfId="0" applyFont="1" applyFill="1" applyBorder="1" applyAlignment="1"/>
    <xf numFmtId="0" fontId="0" fillId="2" borderId="1" xfId="0" applyFill="1" applyBorder="1" applyAlignment="1"/>
    <xf numFmtId="0" fontId="0" fillId="0" borderId="1" xfId="0" applyBorder="1" applyAlignment="1"/>
    <xf numFmtId="0" fontId="1" fillId="2" borderId="1" xfId="0" applyFont="1" applyFill="1" applyBorder="1" applyAlignment="1">
      <alignment horizontal="center" vertical="center"/>
    </xf>
    <xf numFmtId="0" fontId="3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tabSelected="1" workbookViewId="0">
      <selection activeCell="D17" sqref="D17:E17"/>
    </sheetView>
  </sheetViews>
  <sheetFormatPr defaultRowHeight="12"/>
  <cols>
    <col min="1" max="1" width="3.875" style="1" customWidth="1"/>
    <col min="2" max="2" width="10.625" style="1" customWidth="1"/>
    <col min="3" max="3" width="17" style="1" customWidth="1"/>
    <col min="4" max="4" width="10.625" style="1" customWidth="1"/>
    <col min="5" max="5" width="18.625" style="1" customWidth="1"/>
    <col min="6" max="7" width="12.75" style="1" customWidth="1"/>
    <col min="8" max="8" width="22.75" style="1" customWidth="1"/>
    <col min="9" max="10" width="33.5" style="1" customWidth="1"/>
    <col min="11" max="11" width="3.5" style="1" customWidth="1"/>
    <col min="12" max="16384" width="9" style="1"/>
  </cols>
  <sheetData>
    <row r="1" spans="1:12" ht="14.25">
      <c r="A1" s="15" t="s">
        <v>0</v>
      </c>
      <c r="B1" s="16"/>
      <c r="C1" s="13"/>
      <c r="D1" s="17"/>
      <c r="E1" s="2" t="s">
        <v>10</v>
      </c>
      <c r="F1" s="13"/>
      <c r="G1" s="14"/>
      <c r="H1" s="14"/>
      <c r="I1" s="2" t="s">
        <v>13</v>
      </c>
      <c r="J1" s="6">
        <f>COUNTA(B6:C101)</f>
        <v>14</v>
      </c>
    </row>
    <row r="2" spans="1:12" ht="14.25">
      <c r="A2" s="15" t="s">
        <v>11</v>
      </c>
      <c r="B2" s="16"/>
      <c r="C2" s="13"/>
      <c r="D2" s="17"/>
      <c r="E2" s="2" t="s">
        <v>12</v>
      </c>
      <c r="F2" s="13"/>
      <c r="G2" s="14"/>
      <c r="H2" s="14"/>
    </row>
    <row r="4" spans="1:12" ht="13.5">
      <c r="A4" s="18" t="s">
        <v>1</v>
      </c>
      <c r="B4" s="18" t="s">
        <v>2</v>
      </c>
      <c r="C4" s="12"/>
      <c r="D4" s="12"/>
      <c r="E4" s="12"/>
      <c r="F4" s="18" t="s">
        <v>5</v>
      </c>
      <c r="G4" s="18" t="s">
        <v>6</v>
      </c>
      <c r="H4" s="18" t="s">
        <v>7</v>
      </c>
      <c r="I4" s="18" t="s">
        <v>9</v>
      </c>
      <c r="J4" s="18" t="s">
        <v>8</v>
      </c>
      <c r="L4" s="11" t="s">
        <v>16</v>
      </c>
    </row>
    <row r="5" spans="1:12" ht="13.5">
      <c r="A5" s="12"/>
      <c r="B5" s="18" t="s">
        <v>3</v>
      </c>
      <c r="C5" s="12"/>
      <c r="D5" s="18" t="s">
        <v>4</v>
      </c>
      <c r="E5" s="12"/>
      <c r="F5" s="12"/>
      <c r="G5" s="12"/>
      <c r="H5" s="12"/>
      <c r="I5" s="12"/>
      <c r="J5" s="12"/>
      <c r="L5" s="12"/>
    </row>
    <row r="6" spans="1:12" ht="13.5">
      <c r="A6" s="3">
        <v>1</v>
      </c>
      <c r="B6" s="9" t="s">
        <v>20</v>
      </c>
      <c r="C6" s="10"/>
      <c r="D6" s="9" t="s">
        <v>19</v>
      </c>
      <c r="E6" s="10"/>
      <c r="F6" s="4">
        <v>43200</v>
      </c>
      <c r="G6" s="3" t="s">
        <v>27</v>
      </c>
      <c r="H6" s="7" t="str">
        <f>"テーブル定義‗" &amp; B6 &amp; ".xlsx"</f>
        <v>テーブル定義‗勤務時間.xlsx</v>
      </c>
      <c r="I6" s="5"/>
      <c r="J6" s="5"/>
      <c r="L6" s="3" t="s">
        <v>17</v>
      </c>
    </row>
    <row r="7" spans="1:12" ht="13.5">
      <c r="A7" s="3">
        <v>2</v>
      </c>
      <c r="B7" s="9" t="s">
        <v>21</v>
      </c>
      <c r="C7" s="10"/>
      <c r="D7" s="9" t="s">
        <v>18</v>
      </c>
      <c r="E7" s="10"/>
      <c r="F7" s="4">
        <v>43200</v>
      </c>
      <c r="G7" s="3" t="s">
        <v>27</v>
      </c>
      <c r="H7" s="7" t="str">
        <f t="shared" ref="H7:H14" si="0">"テーブル定義‗" &amp; B7 &amp; ".xlsx"</f>
        <v>テーブル定義‗勤務時間設定.xlsx</v>
      </c>
      <c r="I7" s="5"/>
      <c r="J7" s="5"/>
      <c r="L7" s="3" t="s">
        <v>17</v>
      </c>
    </row>
    <row r="8" spans="1:12" ht="13.5">
      <c r="A8" s="3">
        <v>3</v>
      </c>
      <c r="B8" s="9" t="s">
        <v>14</v>
      </c>
      <c r="C8" s="10"/>
      <c r="D8" s="9" t="s">
        <v>15</v>
      </c>
      <c r="E8" s="10"/>
      <c r="F8" s="4">
        <v>43200</v>
      </c>
      <c r="G8" s="3" t="s">
        <v>27</v>
      </c>
      <c r="H8" s="7" t="str">
        <f t="shared" si="0"/>
        <v>テーブル定義‗社員マスタ.xlsx</v>
      </c>
      <c r="I8" s="5"/>
      <c r="J8" s="5"/>
      <c r="L8" s="3" t="s">
        <v>17</v>
      </c>
    </row>
    <row r="9" spans="1:12" ht="13.5">
      <c r="A9" s="3">
        <v>4</v>
      </c>
      <c r="B9" s="9" t="s">
        <v>22</v>
      </c>
      <c r="C9" s="10"/>
      <c r="D9" s="9"/>
      <c r="E9" s="10"/>
      <c r="F9" s="4">
        <v>43200</v>
      </c>
      <c r="G9" s="3" t="s">
        <v>27</v>
      </c>
      <c r="H9" s="7" t="str">
        <f t="shared" si="0"/>
        <v>テーブル定義‗祝日管理.xlsx</v>
      </c>
      <c r="I9" s="5"/>
      <c r="J9" s="5"/>
      <c r="L9" s="3" t="s">
        <v>17</v>
      </c>
    </row>
    <row r="10" spans="1:12" ht="13.5">
      <c r="A10" s="3">
        <v>5</v>
      </c>
      <c r="B10" s="9" t="s">
        <v>23</v>
      </c>
      <c r="C10" s="10"/>
      <c r="D10" s="9"/>
      <c r="E10" s="10"/>
      <c r="F10" s="4">
        <v>43200</v>
      </c>
      <c r="G10" s="3" t="s">
        <v>27</v>
      </c>
      <c r="H10" s="7" t="str">
        <f t="shared" si="0"/>
        <v>テーブル定義‗申請.xlsx</v>
      </c>
      <c r="I10" s="7" t="s">
        <v>37</v>
      </c>
      <c r="J10" s="7"/>
      <c r="L10" s="3" t="s">
        <v>17</v>
      </c>
    </row>
    <row r="11" spans="1:12" ht="13.5">
      <c r="A11" s="3">
        <v>6</v>
      </c>
      <c r="B11" s="9" t="s">
        <v>24</v>
      </c>
      <c r="C11" s="10"/>
      <c r="D11" s="9"/>
      <c r="E11" s="10"/>
      <c r="F11" s="4">
        <v>43200</v>
      </c>
      <c r="G11" s="3" t="s">
        <v>27</v>
      </c>
      <c r="H11" s="7" t="str">
        <f t="shared" si="0"/>
        <v>テーブル定義‗申請マスタ.xlsx</v>
      </c>
      <c r="I11" s="7" t="s">
        <v>29</v>
      </c>
      <c r="J11" s="7" t="s">
        <v>28</v>
      </c>
      <c r="L11" s="3" t="s">
        <v>17</v>
      </c>
    </row>
    <row r="12" spans="1:12" ht="13.5">
      <c r="A12" s="3">
        <v>7</v>
      </c>
      <c r="B12" s="9" t="s">
        <v>25</v>
      </c>
      <c r="C12" s="10"/>
      <c r="D12" s="9"/>
      <c r="E12" s="10"/>
      <c r="F12" s="4">
        <v>43200</v>
      </c>
      <c r="G12" s="3" t="s">
        <v>27</v>
      </c>
      <c r="H12" s="7" t="str">
        <f t="shared" si="0"/>
        <v>テーブル定義‗締め管理.xlsx</v>
      </c>
      <c r="I12" s="7"/>
      <c r="J12" s="7"/>
      <c r="L12" s="3" t="s">
        <v>17</v>
      </c>
    </row>
    <row r="13" spans="1:12" ht="13.5">
      <c r="A13" s="3">
        <v>8</v>
      </c>
      <c r="B13" s="9" t="s">
        <v>26</v>
      </c>
      <c r="C13" s="10"/>
      <c r="D13" s="9"/>
      <c r="E13" s="10"/>
      <c r="F13" s="4">
        <v>43200</v>
      </c>
      <c r="G13" s="3" t="s">
        <v>27</v>
      </c>
      <c r="H13" s="7" t="str">
        <f t="shared" si="0"/>
        <v>テーブル定義‗有給管理.xlsx</v>
      </c>
      <c r="I13" s="7"/>
      <c r="J13" s="7"/>
      <c r="L13" s="3" t="s">
        <v>17</v>
      </c>
    </row>
    <row r="14" spans="1:12" ht="13.5">
      <c r="A14" s="3">
        <v>9</v>
      </c>
      <c r="B14" s="9" t="s">
        <v>30</v>
      </c>
      <c r="C14" s="10"/>
      <c r="D14" s="9"/>
      <c r="E14" s="10"/>
      <c r="F14" s="4">
        <v>43227</v>
      </c>
      <c r="G14" s="3" t="s">
        <v>31</v>
      </c>
      <c r="H14" s="8" t="str">
        <f t="shared" si="0"/>
        <v>テーブル定義‗申請詳細.xlsx</v>
      </c>
      <c r="I14" s="8" t="s">
        <v>38</v>
      </c>
      <c r="J14" s="8"/>
      <c r="L14" s="3" t="s">
        <v>17</v>
      </c>
    </row>
    <row r="15" spans="1:12" ht="13.5">
      <c r="A15" s="3">
        <v>10</v>
      </c>
      <c r="B15" s="9" t="s">
        <v>35</v>
      </c>
      <c r="C15" s="10"/>
      <c r="D15" s="9"/>
      <c r="E15" s="10"/>
      <c r="F15" s="4">
        <v>43227</v>
      </c>
      <c r="G15" s="3" t="s">
        <v>31</v>
      </c>
      <c r="H15" s="8" t="str">
        <f t="shared" ref="H15:H17" si="1">"テーブル定義‗" &amp; B15 &amp; ".xlsx"</f>
        <v>テーブル定義‗休暇取得申請.xlsx</v>
      </c>
      <c r="I15" s="8" t="s">
        <v>39</v>
      </c>
      <c r="J15" s="7"/>
      <c r="L15" s="3"/>
    </row>
    <row r="16" spans="1:12" ht="13.5">
      <c r="A16" s="3">
        <v>11</v>
      </c>
      <c r="B16" s="9" t="s">
        <v>33</v>
      </c>
      <c r="C16" s="10"/>
      <c r="D16" s="9"/>
      <c r="E16" s="10"/>
      <c r="F16" s="4">
        <v>43227</v>
      </c>
      <c r="G16" s="3" t="s">
        <v>31</v>
      </c>
      <c r="H16" s="8" t="str">
        <f t="shared" si="1"/>
        <v>テーブル定義‗通勤手当申請.xlsx</v>
      </c>
      <c r="I16" s="8" t="s">
        <v>40</v>
      </c>
      <c r="J16" s="7"/>
      <c r="L16" s="3"/>
    </row>
    <row r="17" spans="1:12" ht="13.5">
      <c r="A17" s="3">
        <v>12</v>
      </c>
      <c r="B17" s="9" t="s">
        <v>32</v>
      </c>
      <c r="C17" s="10"/>
      <c r="D17" s="9"/>
      <c r="E17" s="10"/>
      <c r="F17" s="4">
        <v>43227</v>
      </c>
      <c r="G17" s="3" t="s">
        <v>31</v>
      </c>
      <c r="H17" s="8" t="str">
        <f t="shared" si="1"/>
        <v>テーブル定義‗経費申請.xlsx</v>
      </c>
      <c r="I17" s="8" t="s">
        <v>41</v>
      </c>
      <c r="J17" s="7"/>
      <c r="L17" s="3"/>
    </row>
    <row r="18" spans="1:12" ht="13.5">
      <c r="A18" s="3">
        <v>13</v>
      </c>
      <c r="B18" s="9" t="s">
        <v>36</v>
      </c>
      <c r="C18" s="10"/>
      <c r="D18" s="9"/>
      <c r="E18" s="10"/>
      <c r="F18" s="4">
        <v>43227</v>
      </c>
      <c r="G18" s="3" t="s">
        <v>31</v>
      </c>
      <c r="H18" s="8" t="str">
        <f t="shared" ref="H18:H19" si="2">"テーブル定義‗" &amp; B18 &amp; ".xlsx"</f>
        <v>テーブル定義‗書籍購入支援申請.xlsx</v>
      </c>
      <c r="I18" s="8" t="s">
        <v>42</v>
      </c>
      <c r="J18" s="7"/>
      <c r="L18" s="3"/>
    </row>
    <row r="19" spans="1:12" ht="13.5">
      <c r="A19" s="3">
        <v>14</v>
      </c>
      <c r="B19" s="9" t="s">
        <v>34</v>
      </c>
      <c r="C19" s="10"/>
      <c r="D19" s="9"/>
      <c r="E19" s="10"/>
      <c r="F19" s="4">
        <v>43227</v>
      </c>
      <c r="G19" s="3" t="s">
        <v>31</v>
      </c>
      <c r="H19" s="8" t="str">
        <f t="shared" si="2"/>
        <v>テーブル定義‗休日出勤申請.xlsx</v>
      </c>
      <c r="I19" s="8" t="s">
        <v>43</v>
      </c>
      <c r="J19" s="7"/>
      <c r="L19" s="3"/>
    </row>
    <row r="20" spans="1:12" ht="13.5">
      <c r="A20" s="3">
        <v>15</v>
      </c>
      <c r="B20" s="9"/>
      <c r="C20" s="10"/>
      <c r="D20" s="9"/>
      <c r="E20" s="10"/>
      <c r="F20" s="4"/>
      <c r="G20" s="3"/>
      <c r="H20" s="7"/>
      <c r="I20" s="7"/>
      <c r="J20" s="7"/>
      <c r="L20" s="3"/>
    </row>
    <row r="21" spans="1:12" ht="13.5">
      <c r="A21" s="3">
        <v>16</v>
      </c>
      <c r="B21" s="9"/>
      <c r="C21" s="10"/>
      <c r="D21" s="9"/>
      <c r="E21" s="10"/>
      <c r="F21" s="4"/>
      <c r="G21" s="3"/>
      <c r="H21" s="7"/>
      <c r="I21" s="7"/>
      <c r="J21" s="7"/>
      <c r="L21" s="3"/>
    </row>
    <row r="22" spans="1:12" ht="13.5">
      <c r="A22" s="3">
        <v>17</v>
      </c>
      <c r="B22" s="9"/>
      <c r="C22" s="10"/>
      <c r="D22" s="9"/>
      <c r="E22" s="10"/>
      <c r="F22" s="4"/>
      <c r="G22" s="3"/>
      <c r="H22" s="7"/>
      <c r="I22" s="7"/>
      <c r="J22" s="7"/>
      <c r="L22" s="3"/>
    </row>
    <row r="23" spans="1:12" ht="13.5">
      <c r="A23" s="3">
        <v>18</v>
      </c>
      <c r="B23" s="9"/>
      <c r="C23" s="10"/>
      <c r="D23" s="9"/>
      <c r="E23" s="10"/>
      <c r="F23" s="4"/>
      <c r="G23" s="3"/>
      <c r="H23" s="7"/>
      <c r="I23" s="7"/>
      <c r="J23" s="7"/>
      <c r="L23" s="3"/>
    </row>
    <row r="24" spans="1:12" ht="13.5">
      <c r="A24" s="3">
        <v>19</v>
      </c>
      <c r="B24" s="9"/>
      <c r="C24" s="10"/>
      <c r="D24" s="9"/>
      <c r="E24" s="10"/>
      <c r="F24" s="4"/>
      <c r="G24" s="3"/>
      <c r="H24" s="7"/>
      <c r="I24" s="7"/>
      <c r="J24" s="7"/>
      <c r="L24" s="3"/>
    </row>
  </sheetData>
  <mergeCells count="54">
    <mergeCell ref="B14:C14"/>
    <mergeCell ref="D14:E14"/>
    <mergeCell ref="B6:C6"/>
    <mergeCell ref="D6:E6"/>
    <mergeCell ref="F4:F5"/>
    <mergeCell ref="G4:G5"/>
    <mergeCell ref="B7:C7"/>
    <mergeCell ref="D7:E7"/>
    <mergeCell ref="B4:E4"/>
    <mergeCell ref="B5:C5"/>
    <mergeCell ref="D5:E5"/>
    <mergeCell ref="B8:C8"/>
    <mergeCell ref="D8:E8"/>
    <mergeCell ref="B9:C9"/>
    <mergeCell ref="D9:E9"/>
    <mergeCell ref="B10:C10"/>
    <mergeCell ref="D10:E10"/>
    <mergeCell ref="L4:L5"/>
    <mergeCell ref="F1:H1"/>
    <mergeCell ref="F2:H2"/>
    <mergeCell ref="A1:B1"/>
    <mergeCell ref="A2:B2"/>
    <mergeCell ref="C1:D1"/>
    <mergeCell ref="C2:D2"/>
    <mergeCell ref="H4:H5"/>
    <mergeCell ref="J4:J5"/>
    <mergeCell ref="I4:I5"/>
    <mergeCell ref="A4:A5"/>
    <mergeCell ref="B11:C11"/>
    <mergeCell ref="D11:E11"/>
    <mergeCell ref="B12:C12"/>
    <mergeCell ref="D12:E12"/>
    <mergeCell ref="B13:C13"/>
    <mergeCell ref="D13:E13"/>
    <mergeCell ref="B15:C15"/>
    <mergeCell ref="D15:E15"/>
    <mergeCell ref="B16:C16"/>
    <mergeCell ref="D16:E16"/>
    <mergeCell ref="B17:C17"/>
    <mergeCell ref="D17:E17"/>
    <mergeCell ref="B18:C18"/>
    <mergeCell ref="D18:E18"/>
    <mergeCell ref="B19:C19"/>
    <mergeCell ref="D19:E19"/>
    <mergeCell ref="B20:C20"/>
    <mergeCell ref="D20:E20"/>
    <mergeCell ref="B24:C24"/>
    <mergeCell ref="D24:E24"/>
    <mergeCell ref="B21:C21"/>
    <mergeCell ref="D21:E21"/>
    <mergeCell ref="B22:C22"/>
    <mergeCell ref="D22:E22"/>
    <mergeCell ref="B23:C23"/>
    <mergeCell ref="D23:E23"/>
  </mergeCells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/>
  </sheetViews>
  <sheetFormatPr defaultColWidth="3.625" defaultRowHeight="14.25"/>
  <cols>
    <col min="1" max="16384" width="3.625" style="19"/>
  </cols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user01</cp:lastModifiedBy>
  <dcterms:created xsi:type="dcterms:W3CDTF">2015-06-05T18:19:34Z</dcterms:created>
  <dcterms:modified xsi:type="dcterms:W3CDTF">2018-05-07T06:29:46Z</dcterms:modified>
</cp:coreProperties>
</file>